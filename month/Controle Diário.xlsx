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16" firstSheet="19" activeTab="27" autoFilterDateGrouping="1"/>
  </bookViews>
  <sheets>
    <sheet xmlns:r="http://schemas.openxmlformats.org/officeDocument/2006/relationships" name="1ª SEG" sheetId="1" state="visible" r:id="rId1"/>
    <sheet xmlns:r="http://schemas.openxmlformats.org/officeDocument/2006/relationships" name="1ª TER" sheetId="2" state="visible" r:id="rId2"/>
    <sheet xmlns:r="http://schemas.openxmlformats.org/officeDocument/2006/relationships" name="1ª QUA" sheetId="3" state="visible" r:id="rId3"/>
    <sheet xmlns:r="http://schemas.openxmlformats.org/officeDocument/2006/relationships" name="1º QUI" sheetId="4" state="visible" r:id="rId4"/>
    <sheet xmlns:r="http://schemas.openxmlformats.org/officeDocument/2006/relationships" name="1º SEX" sheetId="5" state="visible" r:id="rId5"/>
    <sheet xmlns:r="http://schemas.openxmlformats.org/officeDocument/2006/relationships" name="2º SEG" sheetId="6" state="visible" r:id="rId6"/>
    <sheet xmlns:r="http://schemas.openxmlformats.org/officeDocument/2006/relationships" name="2º TER" sheetId="7" state="visible" r:id="rId7"/>
    <sheet xmlns:r="http://schemas.openxmlformats.org/officeDocument/2006/relationships" name="2º QUA" sheetId="8" state="visible" r:id="rId8"/>
    <sheet xmlns:r="http://schemas.openxmlformats.org/officeDocument/2006/relationships" name="2º QUI" sheetId="9" state="visible" r:id="rId9"/>
    <sheet xmlns:r="http://schemas.openxmlformats.org/officeDocument/2006/relationships" name="2º SEX" sheetId="10" state="visible" r:id="rId10"/>
    <sheet xmlns:r="http://schemas.openxmlformats.org/officeDocument/2006/relationships" name="3º SEG" sheetId="11" state="visible" r:id="rId11"/>
    <sheet xmlns:r="http://schemas.openxmlformats.org/officeDocument/2006/relationships" name="3º TER" sheetId="12" state="visible" r:id="rId12"/>
    <sheet xmlns:r="http://schemas.openxmlformats.org/officeDocument/2006/relationships" name="3º QUA" sheetId="13" state="visible" r:id="rId13"/>
    <sheet xmlns:r="http://schemas.openxmlformats.org/officeDocument/2006/relationships" name="3º QUI" sheetId="14" state="visible" r:id="rId14"/>
    <sheet xmlns:r="http://schemas.openxmlformats.org/officeDocument/2006/relationships" name="3º SEX" sheetId="15" state="visible" r:id="rId15"/>
    <sheet xmlns:r="http://schemas.openxmlformats.org/officeDocument/2006/relationships" name="4º SEG" sheetId="16" state="visible" r:id="rId16"/>
    <sheet xmlns:r="http://schemas.openxmlformats.org/officeDocument/2006/relationships" name="4º TER" sheetId="17" state="visible" r:id="rId17"/>
    <sheet xmlns:r="http://schemas.openxmlformats.org/officeDocument/2006/relationships" name="4º QUA" sheetId="18" state="visible" r:id="rId18"/>
    <sheet xmlns:r="http://schemas.openxmlformats.org/officeDocument/2006/relationships" name="4º QUI" sheetId="19" state="visible" r:id="rId19"/>
    <sheet xmlns:r="http://schemas.openxmlformats.org/officeDocument/2006/relationships" name="4º SEX" sheetId="20" state="visible" r:id="rId20"/>
    <sheet xmlns:r="http://schemas.openxmlformats.org/officeDocument/2006/relationships" name="5º SEG" sheetId="21" state="visible" r:id="rId21"/>
    <sheet xmlns:r="http://schemas.openxmlformats.org/officeDocument/2006/relationships" name="5º TER" sheetId="22" state="visible" r:id="rId22"/>
    <sheet xmlns:r="http://schemas.openxmlformats.org/officeDocument/2006/relationships" name="5º QUA" sheetId="23" state="visible" r:id="rId23"/>
    <sheet xmlns:r="http://schemas.openxmlformats.org/officeDocument/2006/relationships" name="5º QUI" sheetId="24" state="visible" r:id="rId24"/>
    <sheet xmlns:r="http://schemas.openxmlformats.org/officeDocument/2006/relationships" name="5º SEX" sheetId="25" state="visible" r:id="rId25"/>
    <sheet xmlns:r="http://schemas.openxmlformats.org/officeDocument/2006/relationships" name="RESUMO GERAL" sheetId="26" state="visible" r:id="rId26"/>
    <sheet xmlns:r="http://schemas.openxmlformats.org/officeDocument/2006/relationships" name="RESUMO DESPESAS" sheetId="27" state="visible" r:id="rId27"/>
    <sheet xmlns:r="http://schemas.openxmlformats.org/officeDocument/2006/relationships" name="RESUMO RECEITAS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0.0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b val="1"/>
      <color theme="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rgb="FF000000"/>
      <sz val="10"/>
    </font>
    <font>
      <name val="Arial"/>
      <family val="2"/>
      <b val="1"/>
      <color theme="0"/>
      <sz val="12"/>
    </font>
    <font>
      <name val="Arial"/>
      <family val="2"/>
      <b val="1"/>
      <color theme="1"/>
      <sz val="11"/>
    </font>
    <font>
      <name val="Arial"/>
      <family val="2"/>
      <color theme="0"/>
      <sz val="11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Arial"/>
      <family val="2"/>
      <color rgb="FF000000"/>
      <sz val="12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b val="1"/>
      <sz val="10"/>
    </font>
    <font>
      <name val="Calibri"/>
      <family val="2"/>
      <color theme="1"/>
      <sz val="12"/>
      <scheme val="minor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2"/>
    </font>
    <font>
      <name val="Calibri"/>
      <family val="2"/>
      <b val="1"/>
      <color theme="0"/>
      <sz val="24"/>
      <scheme val="minor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4">
    <xf numFmtId="0" fontId="1" fillId="0" borderId="0"/>
    <xf numFmtId="44" fontId="1" fillId="0" borderId="0"/>
    <xf numFmtId="0" fontId="4" fillId="0" borderId="0"/>
    <xf numFmtId="44" fontId="4" fillId="0" borderId="0"/>
  </cellStyleXfs>
  <cellXfs count="240">
    <xf numFmtId="0" fontId="0" fillId="0" borderId="0" pivotButton="0" quotePrefix="0" xfId="0"/>
    <xf numFmtId="0" fontId="8" fillId="0" borderId="0" pivotButton="0" quotePrefix="0" xfId="2"/>
    <xf numFmtId="2" fontId="5" fillId="0" borderId="0" pivotButton="0" quotePrefix="0" xfId="2"/>
    <xf numFmtId="0" fontId="3" fillId="0" borderId="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11" fillId="9" borderId="1" applyAlignment="1" pivotButton="0" quotePrefix="0" xfId="2">
      <alignment vertical="center"/>
    </xf>
    <xf numFmtId="0" fontId="9" fillId="3" borderId="0" pivotButton="0" quotePrefix="0" xfId="2"/>
    <xf numFmtId="2" fontId="13" fillId="3" borderId="0" pivotButton="0" quotePrefix="0" xfId="2"/>
    <xf numFmtId="0" fontId="13" fillId="3" borderId="0" pivotButton="0" quotePrefix="0" xfId="0"/>
    <xf numFmtId="0" fontId="0" fillId="0" borderId="0" applyAlignment="1" pivotButton="0" quotePrefix="0" xfId="0">
      <alignment vertical="center"/>
    </xf>
    <xf numFmtId="0" fontId="24" fillId="0" borderId="0" pivotButton="0" quotePrefix="0" xfId="0"/>
    <xf numFmtId="0" fontId="8" fillId="0" borderId="0" applyAlignment="1" pivotButton="0" quotePrefix="0" xfId="2">
      <alignment horizontal="center"/>
    </xf>
    <xf numFmtId="0" fontId="9" fillId="6" borderId="16" applyAlignment="1" pivotButton="0" quotePrefix="0" xfId="2">
      <alignment vertical="center"/>
    </xf>
    <xf numFmtId="0" fontId="9" fillId="6" borderId="25" applyAlignment="1" pivotButton="0" quotePrefix="0" xfId="2">
      <alignment vertical="center"/>
    </xf>
    <xf numFmtId="2" fontId="13" fillId="6" borderId="26" applyAlignment="1" pivotButton="0" quotePrefix="0" xfId="2">
      <alignment vertical="center"/>
    </xf>
    <xf numFmtId="2" fontId="7" fillId="0" borderId="28" pivotButton="0" quotePrefix="0" xfId="2"/>
    <xf numFmtId="2" fontId="13" fillId="6" borderId="17" pivotButton="0" quotePrefix="0" xfId="2"/>
    <xf numFmtId="0" fontId="21" fillId="0" borderId="1" applyAlignment="1" pivotButton="0" quotePrefix="0" xfId="0">
      <alignment vertical="center"/>
    </xf>
    <xf numFmtId="2" fontId="21" fillId="0" borderId="1" applyAlignment="1" pivotButton="0" quotePrefix="0" xfId="2">
      <alignment horizontal="center" vertical="center"/>
    </xf>
    <xf numFmtId="0" fontId="23" fillId="0" borderId="13" applyAlignment="1" pivotButton="0" quotePrefix="0" xfId="2">
      <alignment horizontal="center" vertical="center"/>
    </xf>
    <xf numFmtId="0" fontId="15" fillId="0" borderId="0" pivotButton="0" quotePrefix="0" xfId="0"/>
    <xf numFmtId="0" fontId="23" fillId="0" borderId="2" applyAlignment="1" pivotButton="0" quotePrefix="0" xfId="2">
      <alignment horizontal="right" vertical="center"/>
    </xf>
    <xf numFmtId="0" fontId="16" fillId="0" borderId="1" applyAlignment="1" pivotButton="0" quotePrefix="0" xfId="2">
      <alignment horizontal="left" vertical="center"/>
    </xf>
    <xf numFmtId="0" fontId="20" fillId="0" borderId="1" applyAlignment="1" pivotButton="0" quotePrefix="0" xfId="2">
      <alignment horizontal="left" vertical="center"/>
    </xf>
    <xf numFmtId="2" fontId="20" fillId="0" borderId="1" applyAlignment="1" pivotButton="0" quotePrefix="0" xfId="2">
      <alignment horizontal="center" vertical="center"/>
    </xf>
    <xf numFmtId="0" fontId="9" fillId="3" borderId="19" applyAlignment="1" pivotButton="0" quotePrefix="0" xfId="2">
      <alignment vertical="center"/>
    </xf>
    <xf numFmtId="2" fontId="6" fillId="3" borderId="20" applyAlignment="1" pivotButton="0" quotePrefix="0" xfId="2">
      <alignment vertical="center"/>
    </xf>
    <xf numFmtId="0" fontId="9" fillId="3" borderId="7" applyAlignment="1" pivotButton="0" quotePrefix="0" xfId="2">
      <alignment vertical="center"/>
    </xf>
    <xf numFmtId="2" fontId="21" fillId="0" borderId="1" applyAlignment="1" pivotButton="0" quotePrefix="0" xfId="0">
      <alignment vertical="center"/>
    </xf>
    <xf numFmtId="9" fontId="2" fillId="3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center"/>
    </xf>
    <xf numFmtId="2" fontId="6" fillId="3" borderId="28" applyAlignment="1" pivotButton="0" quotePrefix="0" xfId="2">
      <alignment vertical="center"/>
    </xf>
    <xf numFmtId="0" fontId="29" fillId="10" borderId="1" applyAlignment="1" pivotButton="0" quotePrefix="0" xfId="2">
      <alignment vertical="center"/>
    </xf>
    <xf numFmtId="2" fontId="12" fillId="10" borderId="1" applyAlignment="1" pivotButton="0" quotePrefix="0" xfId="2">
      <alignment vertical="center"/>
    </xf>
    <xf numFmtId="9" fontId="2" fillId="3" borderId="1" applyAlignment="1" pivotButton="0" quotePrefix="0" xfId="0">
      <alignment horizontal="center" vertical="center"/>
    </xf>
    <xf numFmtId="0" fontId="15" fillId="0" borderId="0" applyProtection="1" pivotButton="0" quotePrefix="0" xfId="0">
      <protection locked="0" hidden="0"/>
    </xf>
    <xf numFmtId="0" fontId="12" fillId="0" borderId="2" applyAlignment="1" applyProtection="1" pivotButton="0" quotePrefix="0" xfId="0">
      <alignment horizontal="center" vertical="center"/>
      <protection locked="0" hidden="0"/>
    </xf>
    <xf numFmtId="14" fontId="16" fillId="5" borderId="1" applyAlignment="1" applyProtection="1" pivotButton="0" quotePrefix="0" xfId="0">
      <alignment horizontal="center" vertical="center"/>
      <protection locked="0" hidden="0"/>
    </xf>
    <xf numFmtId="0" fontId="23" fillId="0" borderId="2" applyAlignment="1" applyProtection="1" pivotButton="0" quotePrefix="0" xfId="2">
      <alignment horizontal="center" vertical="center"/>
      <protection locked="0" hidden="0"/>
    </xf>
    <xf numFmtId="0" fontId="3" fillId="3" borderId="5" applyAlignment="1" applyProtection="1" pivotButton="0" quotePrefix="0" xfId="0">
      <alignment horizontal="center" vertical="center"/>
      <protection locked="0" hidden="0"/>
    </xf>
    <xf numFmtId="0" fontId="2" fillId="3" borderId="5" applyAlignment="1" applyProtection="1" pivotButton="0" quotePrefix="0" xfId="0">
      <alignment horizontal="center" vertical="center"/>
      <protection locked="0" hidden="0"/>
    </xf>
    <xf numFmtId="0" fontId="2" fillId="3" borderId="9" applyAlignment="1" applyProtection="1" pivotButton="0" quotePrefix="0" xfId="0">
      <alignment horizontal="center" vertical="center"/>
      <protection locked="0" hidden="0"/>
    </xf>
    <xf numFmtId="0" fontId="25" fillId="0" borderId="2" applyAlignment="1" applyProtection="1" pivotButton="0" quotePrefix="0" xfId="2">
      <alignment horizontal="center" vertical="center"/>
      <protection locked="0" hidden="0"/>
    </xf>
    <xf numFmtId="0" fontId="2" fillId="3" borderId="7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2">
      <alignment horizontal="center" vertical="center"/>
      <protection locked="0" hidden="0"/>
    </xf>
    <xf numFmtId="0" fontId="11" fillId="2" borderId="2" applyAlignment="1" applyProtection="1" pivotButton="0" quotePrefix="0" xfId="2">
      <alignment horizontal="center" vertical="center"/>
      <protection locked="0" hidden="0"/>
    </xf>
    <xf numFmtId="0" fontId="11" fillId="0" borderId="0" applyAlignment="1" applyProtection="1" pivotButton="0" quotePrefix="0" xfId="2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1" fillId="9" borderId="1" applyAlignment="1" applyProtection="1" pivotButton="0" quotePrefix="0" xfId="2">
      <alignment vertical="center"/>
      <protection locked="0" hidden="0"/>
    </xf>
    <xf numFmtId="2" fontId="11" fillId="9" borderId="1" applyAlignment="1" applyProtection="1" pivotButton="0" quotePrefix="0" xfId="2">
      <alignment horizontal="center" vertical="center"/>
      <protection locked="0" hidden="0"/>
    </xf>
    <xf numFmtId="0" fontId="11" fillId="9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applyProtection="1" pivotButton="0" quotePrefix="0" xfId="0">
      <alignment vertical="center"/>
      <protection locked="0" hidden="0"/>
    </xf>
    <xf numFmtId="0" fontId="24" fillId="0" borderId="0" applyProtection="1" pivotButton="0" quotePrefix="0" xfId="0">
      <protection locked="0" hidden="0"/>
    </xf>
    <xf numFmtId="0" fontId="20" fillId="0" borderId="1" applyProtection="1" pivotButton="0" quotePrefix="0" xfId="2">
      <protection locked="0" hidden="0"/>
    </xf>
    <xf numFmtId="2" fontId="20" fillId="5" borderId="1" applyProtection="1" pivotButton="0" quotePrefix="0" xfId="2">
      <protection locked="0" hidden="0"/>
    </xf>
    <xf numFmtId="0" fontId="11" fillId="2" borderId="1" applyAlignment="1" applyProtection="1" pivotButton="0" quotePrefix="0" xfId="2">
      <alignment vertical="center"/>
      <protection locked="0" hidden="0"/>
    </xf>
    <xf numFmtId="0" fontId="9" fillId="3" borderId="0" applyProtection="1" pivotButton="0" quotePrefix="0" xfId="2">
      <protection locked="0" hidden="0"/>
    </xf>
    <xf numFmtId="2" fontId="13" fillId="3" borderId="0" applyProtection="1" pivotButton="0" quotePrefix="0" xfId="2">
      <protection locked="0" hidden="0"/>
    </xf>
    <xf numFmtId="0" fontId="13" fillId="3" borderId="0" applyProtection="1" pivotButton="0" quotePrefix="0" xfId="0">
      <protection locked="0" hidden="0"/>
    </xf>
    <xf numFmtId="0" fontId="8" fillId="0" borderId="0" applyProtection="1" pivotButton="0" quotePrefix="0" xfId="2">
      <protection locked="0" hidden="0"/>
    </xf>
    <xf numFmtId="2" fontId="5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0" fontId="9" fillId="6" borderId="7" applyAlignment="1" applyProtection="1" pivotButton="0" quotePrefix="0" xfId="2">
      <alignment vertical="center"/>
      <protection locked="0" hidden="0"/>
    </xf>
    <xf numFmtId="2" fontId="13" fillId="6" borderId="15" applyAlignment="1" applyProtection="1" pivotButton="0" quotePrefix="0" xfId="2">
      <alignment vertical="center"/>
      <protection locked="0" hidden="0"/>
    </xf>
    <xf numFmtId="0" fontId="10" fillId="0" borderId="1" applyProtection="1" pivotButton="0" quotePrefix="0" xfId="2">
      <protection locked="0" hidden="0"/>
    </xf>
    <xf numFmtId="2" fontId="7" fillId="5" borderId="2" applyProtection="1" pivotButton="0" quotePrefix="0" xfId="2">
      <protection locked="0" hidden="0"/>
    </xf>
    <xf numFmtId="0" fontId="9" fillId="0" borderId="0" applyAlignment="1" applyProtection="1" pivotButton="0" quotePrefix="0" xfId="2">
      <alignment horizontal="center"/>
      <protection locked="0" hidden="0"/>
    </xf>
    <xf numFmtId="0" fontId="9" fillId="6" borderId="16" applyAlignment="1" applyProtection="1" pivotButton="0" quotePrefix="0" xfId="2">
      <alignment vertical="center"/>
      <protection locked="0" hidden="0"/>
    </xf>
    <xf numFmtId="2" fontId="13" fillId="6" borderId="18" applyProtection="1" pivotButton="0" quotePrefix="0" xfId="2">
      <protection locked="0" hidden="0"/>
    </xf>
    <xf numFmtId="0" fontId="15" fillId="6" borderId="18" applyAlignment="1" applyProtection="1" pivotButton="0" quotePrefix="0" xfId="0">
      <alignment horizontal="center"/>
      <protection locked="0" hidden="0"/>
    </xf>
    <xf numFmtId="0" fontId="15" fillId="6" borderId="17" applyAlignment="1" applyProtection="1" pivotButton="0" quotePrefix="0" xfId="0">
      <alignment horizontal="center"/>
      <protection locked="0" hidden="0"/>
    </xf>
    <xf numFmtId="0" fontId="10" fillId="0" borderId="7" applyProtection="1" pivotButton="0" quotePrefix="0" xfId="2">
      <protection locked="0" hidden="0"/>
    </xf>
    <xf numFmtId="2" fontId="7" fillId="5" borderId="15" applyProtection="1" pivotButton="0" quotePrefix="0" xfId="2">
      <protection locked="0" hidden="0"/>
    </xf>
    <xf numFmtId="2" fontId="15" fillId="5" borderId="15" applyProtection="1" pivotButton="0" quotePrefix="0" xfId="2">
      <protection locked="0" hidden="0"/>
    </xf>
    <xf numFmtId="2" fontId="15" fillId="5" borderId="2" applyProtection="1" pivotButton="0" quotePrefix="0" xfId="2">
      <protection locked="0" hidden="0"/>
    </xf>
    <xf numFmtId="0" fontId="8" fillId="0" borderId="0" applyAlignment="1" applyProtection="1" pivotButton="0" quotePrefix="0" xfId="2">
      <alignment horizontal="center"/>
      <protection locked="0" hidden="0"/>
    </xf>
    <xf numFmtId="0" fontId="9" fillId="3" borderId="7" applyProtection="1" pivotButton="0" quotePrefix="0" xfId="2">
      <protection locked="0" hidden="0"/>
    </xf>
    <xf numFmtId="2" fontId="6" fillId="3" borderId="15" applyProtection="1" pivotButton="0" quotePrefix="0" xfId="2">
      <protection locked="0" hidden="0"/>
    </xf>
    <xf numFmtId="0" fontId="14" fillId="8" borderId="1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1" fillId="2" borderId="1" applyAlignment="1" pivotButton="0" quotePrefix="0" xfId="2">
      <alignment vertical="center"/>
    </xf>
    <xf numFmtId="2" fontId="22" fillId="2" borderId="1" applyAlignment="1" pivotButton="0" quotePrefix="0" xfId="2">
      <alignment vertical="center"/>
    </xf>
    <xf numFmtId="0" fontId="22" fillId="2" borderId="1" applyAlignment="1" pivotButton="0" quotePrefix="0" xfId="0">
      <alignment vertical="center"/>
    </xf>
    <xf numFmtId="2" fontId="22" fillId="2" borderId="1" applyAlignment="1" pivotButton="0" quotePrefix="0" xfId="0">
      <alignment vertical="center"/>
    </xf>
    <xf numFmtId="0" fontId="21" fillId="0" borderId="1" applyAlignment="1" pivotButton="0" quotePrefix="0" xfId="0">
      <alignment horizontal="center"/>
    </xf>
    <xf numFmtId="2" fontId="21" fillId="0" borderId="1" pivotButton="0" quotePrefix="0" xfId="0"/>
    <xf numFmtId="0" fontId="22" fillId="11" borderId="1" applyAlignment="1" pivotButton="0" quotePrefix="0" xfId="0">
      <alignment vertical="center"/>
    </xf>
    <xf numFmtId="2" fontId="11" fillId="11" borderId="1" applyAlignment="1" pivotButton="0" quotePrefix="0" xfId="0">
      <alignment vertical="center"/>
    </xf>
    <xf numFmtId="2" fontId="11" fillId="9" borderId="1" applyAlignment="1" pivotButton="0" quotePrefix="0" xfId="2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/>
    </xf>
    <xf numFmtId="2" fontId="21" fillId="11" borderId="1" pivotButton="0" quotePrefix="0" xfId="0"/>
    <xf numFmtId="0" fontId="9" fillId="3" borderId="5" pivotButton="0" quotePrefix="0" xfId="2"/>
    <xf numFmtId="2" fontId="6" fillId="3" borderId="14" pivotButton="0" quotePrefix="0" xfId="2"/>
    <xf numFmtId="0" fontId="9" fillId="3" borderId="1" pivotButton="0" quotePrefix="0" xfId="2"/>
    <xf numFmtId="2" fontId="6" fillId="3" borderId="2" pivotButton="0" quotePrefix="0" xfId="2"/>
    <xf numFmtId="0" fontId="11" fillId="3" borderId="1" applyAlignment="1" applyProtection="1" pivotButton="0" quotePrefix="0" xfId="2">
      <alignment vertical="center"/>
      <protection locked="0" hidden="0"/>
    </xf>
    <xf numFmtId="2" fontId="22" fillId="3" borderId="1" applyAlignment="1" applyProtection="1" pivotButton="0" quotePrefix="0" xfId="2">
      <alignment vertical="center"/>
      <protection locked="0" hidden="0"/>
    </xf>
    <xf numFmtId="0" fontId="22" fillId="3" borderId="1" applyAlignment="1" applyProtection="1" pivotButton="0" quotePrefix="0" xfId="0">
      <alignment vertical="center"/>
      <protection locked="0" hidden="0"/>
    </xf>
    <xf numFmtId="2" fontId="22" fillId="3" borderId="1" applyAlignment="1" applyProtection="1" pivotButton="0" quotePrefix="0" xfId="0">
      <alignment vertical="center"/>
      <protection locked="0" hidden="0"/>
    </xf>
    <xf numFmtId="0" fontId="11" fillId="0" borderId="3" applyAlignment="1" applyProtection="1" pivotButton="0" quotePrefix="0" xfId="2">
      <alignment vertical="center"/>
      <protection locked="0" hidden="0"/>
    </xf>
    <xf numFmtId="2" fontId="22" fillId="0" borderId="3" applyAlignment="1" applyProtection="1" pivotButton="0" quotePrefix="0" xfId="2">
      <alignment vertical="center"/>
      <protection locked="0" hidden="0"/>
    </xf>
    <xf numFmtId="0" fontId="22" fillId="0" borderId="3" applyAlignment="1" applyProtection="1" pivotButton="0" quotePrefix="0" xfId="0">
      <alignment vertical="center"/>
      <protection locked="0" hidden="0"/>
    </xf>
    <xf numFmtId="2" fontId="22" fillId="0" borderId="3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2" fillId="6" borderId="18" applyAlignment="1" applyProtection="1" pivotButton="0" quotePrefix="0" xfId="0">
      <alignment horizontal="center"/>
      <protection locked="0" hidden="0"/>
    </xf>
    <xf numFmtId="0" fontId="15" fillId="0" borderId="29" applyAlignment="1" applyProtection="1" pivotButton="0" quotePrefix="0" xfId="0">
      <alignment horizontal="left"/>
      <protection locked="0" hidden="0"/>
    </xf>
    <xf numFmtId="0" fontId="15" fillId="0" borderId="29" applyAlignment="1" applyProtection="1" pivotButton="0" quotePrefix="0" xfId="0">
      <alignment horizontal="center"/>
      <protection locked="0" hidden="0"/>
    </xf>
    <xf numFmtId="0" fontId="15" fillId="0" borderId="30" applyAlignment="1" applyProtection="1" pivotButton="0" quotePrefix="0" xfId="0">
      <alignment horizontal="center"/>
      <protection locked="0" hidden="0"/>
    </xf>
    <xf numFmtId="0" fontId="9" fillId="3" borderId="23" applyProtection="1" pivotButton="0" quotePrefix="0" xfId="2">
      <protection locked="0" hidden="0"/>
    </xf>
    <xf numFmtId="2" fontId="6" fillId="3" borderId="24" applyProtection="1" pivotButton="0" quotePrefix="0" xfId="2">
      <protection locked="0" hidden="0"/>
    </xf>
    <xf numFmtId="0" fontId="11" fillId="2" borderId="2" applyAlignment="1" pivotButton="0" quotePrefix="0" xfId="2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9" fillId="3" borderId="23" pivotButton="0" quotePrefix="0" xfId="2"/>
    <xf numFmtId="0" fontId="9" fillId="0" borderId="0" applyProtection="1" pivotButton="0" quotePrefix="0" xfId="2">
      <protection locked="0" hidden="0"/>
    </xf>
    <xf numFmtId="2" fontId="13" fillId="0" borderId="0" applyProtection="1" pivotButton="0" quotePrefix="0" xfId="2">
      <protection locked="0" hidden="0"/>
    </xf>
    <xf numFmtId="0" fontId="13" fillId="0" borderId="0" applyProtection="1" pivotButton="0" quotePrefix="0" xfId="0">
      <protection locked="0" hidden="0"/>
    </xf>
    <xf numFmtId="0" fontId="9" fillId="0" borderId="0" applyAlignment="1" pivotButton="0" quotePrefix="0" xfId="2">
      <alignment horizontal="center"/>
    </xf>
    <xf numFmtId="0" fontId="25" fillId="0" borderId="1" applyAlignment="1" applyProtection="1" pivotButton="0" quotePrefix="0" xfId="2">
      <alignment horizontal="center" vertical="center"/>
      <protection locked="0" hidden="0"/>
    </xf>
    <xf numFmtId="0" fontId="11" fillId="0" borderId="0" applyAlignment="1" pivotButton="0" quotePrefix="0" xfId="2">
      <alignment horizontal="center" vertical="center"/>
    </xf>
    <xf numFmtId="0" fontId="15" fillId="0" borderId="0" applyAlignment="1" pivotButton="0" quotePrefix="0" xfId="0">
      <alignment horizontal="center"/>
    </xf>
    <xf numFmtId="0" fontId="0" fillId="0" borderId="0" pivotButton="0" quotePrefix="0" xfId="0"/>
    <xf numFmtId="0" fontId="25" fillId="0" borderId="1" applyAlignment="1" applyProtection="1" pivotButton="0" quotePrefix="0" xfId="0">
      <alignment horizontal="center" vertical="center"/>
      <protection locked="0" hidden="0"/>
    </xf>
    <xf numFmtId="0" fontId="15" fillId="0" borderId="16" applyProtection="1" pivotButton="0" quotePrefix="0" xfId="0">
      <protection locked="0" hidden="0"/>
    </xf>
    <xf numFmtId="0" fontId="15" fillId="0" borderId="18" applyProtection="1" pivotButton="0" quotePrefix="0" xfId="0">
      <protection locked="0" hidden="0"/>
    </xf>
    <xf numFmtId="0" fontId="15" fillId="0" borderId="17" applyProtection="1" pivotButton="0" quotePrefix="0" xfId="0">
      <protection locked="0" hidden="0"/>
    </xf>
    <xf numFmtId="0" fontId="30" fillId="5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10" fillId="0" borderId="27" pivotButton="0" quotePrefix="0" xfId="2"/>
    <xf numFmtId="0" fontId="10" fillId="0" borderId="25" pivotButton="0" quotePrefix="0" xfId="2"/>
    <xf numFmtId="164" fontId="16" fillId="5" borderId="1" applyAlignment="1" applyProtection="1" pivotButton="0" quotePrefix="0" xfId="1">
      <alignment vertical="center"/>
      <protection locked="0" hidden="0"/>
    </xf>
    <xf numFmtId="164" fontId="3" fillId="3" borderId="9" applyAlignment="1" pivotButton="0" quotePrefix="0" xfId="1">
      <alignment horizontal="center" vertical="center"/>
    </xf>
    <xf numFmtId="164" fontId="26" fillId="0" borderId="1" applyProtection="1" pivotButton="0" quotePrefix="0" xfId="1">
      <protection locked="0" hidden="0"/>
    </xf>
    <xf numFmtId="164" fontId="3" fillId="3" borderId="8" applyAlignment="1" pivotButton="0" quotePrefix="0" xfId="1">
      <alignment horizontal="center" vertical="center"/>
    </xf>
    <xf numFmtId="164" fontId="3" fillId="3" borderId="7" applyAlignment="1" pivotButton="0" quotePrefix="0" xfId="1">
      <alignment horizontal="center" vertical="center"/>
    </xf>
    <xf numFmtId="164" fontId="14" fillId="8" borderId="1" applyAlignment="1" pivotButton="0" quotePrefix="0" xfId="1">
      <alignment horizontal="center" vertical="center"/>
    </xf>
    <xf numFmtId="164" fontId="3" fillId="3" borderId="6" applyAlignment="1" pivotButton="0" quotePrefix="0" xfId="1">
      <alignment horizontal="right" vertical="center"/>
    </xf>
    <xf numFmtId="164" fontId="3" fillId="3" borderId="10" applyAlignment="1" pivotButton="0" quotePrefix="0" xfId="1">
      <alignment horizontal="right" vertical="center"/>
    </xf>
    <xf numFmtId="164" fontId="3" fillId="3" borderId="9" applyAlignment="1" pivotButton="0" quotePrefix="0" xfId="1">
      <alignment horizontal="right" vertical="center"/>
    </xf>
    <xf numFmtId="164" fontId="11" fillId="2" borderId="1" applyAlignment="1" pivotButton="0" quotePrefix="0" xfId="1">
      <alignment vertical="center"/>
    </xf>
    <xf numFmtId="164" fontId="3" fillId="3" borderId="8" applyAlignment="1" pivotButton="0" quotePrefix="0" xfId="1">
      <alignment horizontal="right" vertical="center"/>
    </xf>
    <xf numFmtId="164" fontId="11" fillId="0" borderId="0" applyAlignment="1" applyProtection="1" pivotButton="0" quotePrefix="0" xfId="1">
      <alignment vertical="center"/>
      <protection locked="0" hidden="0"/>
    </xf>
    <xf numFmtId="164" fontId="17" fillId="7" borderId="1" applyAlignment="1" pivotButton="0" quotePrefix="0" xfId="1">
      <alignment horizontal="center" vertical="center"/>
    </xf>
    <xf numFmtId="164" fontId="17" fillId="0" borderId="0" applyAlignment="1" applyProtection="1" pivotButton="0" quotePrefix="0" xfId="1">
      <alignment horizontal="center" vertical="center"/>
      <protection locked="0" hidden="0"/>
    </xf>
    <xf numFmtId="164" fontId="21" fillId="0" borderId="1" pivotButton="0" quotePrefix="0" xfId="1"/>
    <xf numFmtId="165" fontId="21" fillId="0" borderId="1" pivotButton="0" quotePrefix="0" xfId="0"/>
    <xf numFmtId="164" fontId="11" fillId="3" borderId="1" applyAlignment="1" applyProtection="1" pivotButton="0" quotePrefix="0" xfId="1">
      <alignment vertical="center"/>
      <protection locked="0" hidden="0"/>
    </xf>
    <xf numFmtId="164" fontId="11" fillId="0" borderId="3" applyAlignment="1" applyProtection="1" pivotButton="0" quotePrefix="0" xfId="1">
      <alignment vertical="center"/>
      <protection locked="0" hidden="0"/>
    </xf>
    <xf numFmtId="164" fontId="11" fillId="3" borderId="0" applyProtection="1" pivotButton="0" quotePrefix="0" xfId="1">
      <protection locked="0" hidden="0"/>
    </xf>
    <xf numFmtId="164" fontId="17" fillId="8" borderId="0" applyAlignment="1" applyProtection="1" pivotButton="0" quotePrefix="0" xfId="1">
      <alignment horizontal="center" vertical="center"/>
      <protection locked="0" hidden="0"/>
    </xf>
    <xf numFmtId="164" fontId="16" fillId="0" borderId="1" applyProtection="1" pivotButton="0" quotePrefix="0" xfId="1">
      <protection locked="0" hidden="0"/>
    </xf>
    <xf numFmtId="164" fontId="11" fillId="0" borderId="0" applyProtection="1" pivotButton="0" quotePrefix="0" xfId="1">
      <protection locked="0" hidden="0"/>
    </xf>
    <xf numFmtId="164" fontId="11" fillId="0" borderId="0" applyAlignment="1" pivotButton="0" quotePrefix="0" xfId="1">
      <alignment vertical="center"/>
    </xf>
    <xf numFmtId="164" fontId="14" fillId="5" borderId="1" applyAlignment="1" pivotButton="0" quotePrefix="0" xfId="1">
      <alignment horizontal="center" vertical="center"/>
    </xf>
    <xf numFmtId="164" fontId="11" fillId="0" borderId="13" applyAlignment="1" pivotButton="0" quotePrefix="0" xfId="1">
      <alignment vertical="center"/>
    </xf>
    <xf numFmtId="165" fontId="21" fillId="0" borderId="1" applyAlignment="1" pivotButton="0" quotePrefix="0" xfId="0">
      <alignment vertical="center"/>
    </xf>
    <xf numFmtId="164" fontId="17" fillId="10" borderId="1" applyAlignment="1" pivotButton="0" quotePrefix="0" xfId="1">
      <alignment horizontal="center" vertical="center"/>
    </xf>
    <xf numFmtId="164" fontId="11" fillId="3" borderId="0" pivotButton="0" quotePrefix="0" xfId="1"/>
    <xf numFmtId="164" fontId="31" fillId="0" borderId="0" pivotButton="0" quotePrefix="0" xfId="0"/>
    <xf numFmtId="164" fontId="21" fillId="0" borderId="0" applyAlignment="1" pivotButton="0" quotePrefix="0" xfId="1">
      <alignment vertical="center"/>
    </xf>
    <xf numFmtId="0" fontId="32" fillId="0" borderId="36" applyAlignment="1" pivotButton="0" quotePrefix="0" xfId="0">
      <alignment horizontal="center" vertical="top"/>
    </xf>
    <xf numFmtId="0" fontId="18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5" fillId="0" borderId="33" applyAlignment="1" pivotButton="0" quotePrefix="0" xfId="0">
      <alignment horizontal="center"/>
    </xf>
    <xf numFmtId="0" fontId="0" fillId="0" borderId="18" pivotButton="0" quotePrefix="0" xfId="0"/>
    <xf numFmtId="0" fontId="0" fillId="0" borderId="17" pivotButton="0" quotePrefix="0" xfId="0"/>
    <xf numFmtId="0" fontId="15" fillId="0" borderId="3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1" fillId="3" borderId="3" applyAlignment="1" applyProtection="1" pivotButton="0" quotePrefix="0" xfId="2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15" fillId="0" borderId="35" applyAlignment="1" applyProtection="1" pivotButton="0" quotePrefix="0" xfId="0">
      <alignment horizont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11" fillId="3" borderId="13" applyAlignment="1" applyProtection="1" pivotButton="0" quotePrefix="0" xfId="2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9" fillId="3" borderId="1" applyAlignment="1" applyProtection="1" pivotButton="0" quotePrefix="0" xfId="2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19" fillId="4" borderId="33" applyAlignment="1" applyProtection="1" pivotButton="0" quotePrefix="0" xfId="2">
      <alignment horizont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1" fillId="9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6" fillId="3" borderId="13" applyAlignment="1" applyProtection="1" pivotButton="0" quotePrefix="0" xfId="0">
      <alignment horizontal="center" vertical="center"/>
      <protection locked="0" hidden="0"/>
    </xf>
    <xf numFmtId="0" fontId="15" fillId="0" borderId="33" applyAlignment="1" applyProtection="1" pivotButton="0" quotePrefix="0" xfId="0">
      <alignment horizontal="center"/>
      <protection locked="0" hidden="0"/>
    </xf>
    <xf numFmtId="0" fontId="6" fillId="3" borderId="13" applyAlignment="1" pivotButton="0" quotePrefix="0" xfId="0">
      <alignment horizontal="center" vertical="center"/>
    </xf>
    <xf numFmtId="0" fontId="0" fillId="0" borderId="13" pivotButton="0" quotePrefix="0" xfId="0"/>
    <xf numFmtId="0" fontId="19" fillId="4" borderId="33" applyAlignment="1" pivotButton="0" quotePrefix="0" xfId="2">
      <alignment horizontal="center"/>
    </xf>
    <xf numFmtId="0" fontId="27" fillId="3" borderId="12" applyAlignment="1" pivotButton="0" quotePrefix="0" xfId="0">
      <alignment horizontal="center" vertical="center"/>
    </xf>
    <xf numFmtId="0" fontId="0" fillId="0" borderId="12" pivotButton="0" quotePrefix="0" xfId="0"/>
    <xf numFmtId="0" fontId="2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1" fillId="3" borderId="13" applyAlignment="1" pivotButton="0" quotePrefix="0" xfId="2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4" fontId="16" fillId="5" borderId="1" applyAlignment="1" applyProtection="1" pivotButton="0" quotePrefix="0" xfId="1">
      <alignment vertical="center"/>
      <protection locked="0" hidden="0"/>
    </xf>
    <xf numFmtId="164" fontId="3" fillId="3" borderId="9" applyAlignment="1" pivotButton="0" quotePrefix="0" xfId="1">
      <alignment horizontal="center" vertical="center"/>
    </xf>
    <xf numFmtId="164" fontId="26" fillId="0" borderId="1" applyProtection="1" pivotButton="0" quotePrefix="0" xfId="1">
      <protection locked="0" hidden="0"/>
    </xf>
    <xf numFmtId="164" fontId="3" fillId="3" borderId="8" applyAlignment="1" pivotButton="0" quotePrefix="0" xfId="1">
      <alignment horizontal="center" vertical="center"/>
    </xf>
    <xf numFmtId="164" fontId="3" fillId="3" borderId="7" applyAlignment="1" pivotButton="0" quotePrefix="0" xfId="1">
      <alignment horizontal="center" vertical="center"/>
    </xf>
    <xf numFmtId="164" fontId="14" fillId="8" borderId="1" applyAlignment="1" pivotButton="0" quotePrefix="0" xfId="1">
      <alignment horizontal="center" vertical="center"/>
    </xf>
    <xf numFmtId="164" fontId="3" fillId="3" borderId="6" applyAlignment="1" pivotButton="0" quotePrefix="0" xfId="1">
      <alignment horizontal="right" vertical="center"/>
    </xf>
    <xf numFmtId="164" fontId="3" fillId="3" borderId="10" applyAlignment="1" pivotButton="0" quotePrefix="0" xfId="1">
      <alignment horizontal="right" vertical="center"/>
    </xf>
    <xf numFmtId="164" fontId="3" fillId="3" borderId="9" applyAlignment="1" pivotButton="0" quotePrefix="0" xfId="1">
      <alignment horizontal="right" vertical="center"/>
    </xf>
    <xf numFmtId="164" fontId="11" fillId="2" borderId="1" applyAlignment="1" pivotButton="0" quotePrefix="0" xfId="1">
      <alignment vertical="center"/>
    </xf>
    <xf numFmtId="164" fontId="3" fillId="3" borderId="8" applyAlignment="1" pivotButton="0" quotePrefix="0" xfId="1">
      <alignment horizontal="right" vertical="center"/>
    </xf>
    <xf numFmtId="164" fontId="11" fillId="0" borderId="0" applyAlignment="1" applyProtection="1" pivotButton="0" quotePrefix="0" xfId="1">
      <alignment vertical="center"/>
      <protection locked="0" hidden="0"/>
    </xf>
    <xf numFmtId="164" fontId="17" fillId="7" borderId="1" applyAlignment="1" pivotButton="0" quotePrefix="0" xfId="1">
      <alignment horizontal="center" vertical="center"/>
    </xf>
    <xf numFmtId="164" fontId="17" fillId="0" borderId="0" applyAlignment="1" applyProtection="1" pivotButton="0" quotePrefix="0" xfId="1">
      <alignment horizontal="center" vertical="center"/>
      <protection locked="0" hidden="0"/>
    </xf>
    <xf numFmtId="164" fontId="21" fillId="0" borderId="1" pivotButton="0" quotePrefix="0" xfId="1"/>
    <xf numFmtId="165" fontId="21" fillId="0" borderId="1" pivotButton="0" quotePrefix="0" xfId="0"/>
    <xf numFmtId="164" fontId="11" fillId="3" borderId="1" applyAlignment="1" applyProtection="1" pivotButton="0" quotePrefix="0" xfId="1">
      <alignment vertical="center"/>
      <protection locked="0" hidden="0"/>
    </xf>
    <xf numFmtId="164" fontId="11" fillId="0" borderId="3" applyAlignment="1" applyProtection="1" pivotButton="0" quotePrefix="0" xfId="1">
      <alignment vertical="center"/>
      <protection locked="0" hidden="0"/>
    </xf>
    <xf numFmtId="164" fontId="11" fillId="3" borderId="0" applyProtection="1" pivotButton="0" quotePrefix="0" xfId="1">
      <protection locked="0" hidden="0"/>
    </xf>
    <xf numFmtId="164" fontId="17" fillId="8" borderId="0" applyAlignment="1" applyProtection="1" pivotButton="0" quotePrefix="0" xfId="1">
      <alignment horizontal="center" vertical="center"/>
      <protection locked="0" hidden="0"/>
    </xf>
    <xf numFmtId="164" fontId="16" fillId="0" borderId="1" applyProtection="1" pivotButton="0" quotePrefix="0" xfId="1">
      <protection locked="0" hidden="0"/>
    </xf>
    <xf numFmtId="164" fontId="11" fillId="0" borderId="0" applyProtection="1" pivotButton="0" quotePrefix="0" xfId="1">
      <protection locked="0" hidden="0"/>
    </xf>
    <xf numFmtId="164" fontId="11" fillId="0" borderId="0" applyAlignment="1" pivotButton="0" quotePrefix="0" xfId="1">
      <alignment vertical="center"/>
    </xf>
    <xf numFmtId="164" fontId="14" fillId="5" borderId="1" applyAlignment="1" pivotButton="0" quotePrefix="0" xfId="1">
      <alignment horizontal="center" vertical="center"/>
    </xf>
    <xf numFmtId="164" fontId="11" fillId="0" borderId="13" applyAlignment="1" pivotButton="0" quotePrefix="0" xfId="1">
      <alignment vertical="center"/>
    </xf>
    <xf numFmtId="165" fontId="21" fillId="0" borderId="1" applyAlignment="1" pivotButton="0" quotePrefix="0" xfId="0">
      <alignment vertical="center"/>
    </xf>
    <xf numFmtId="164" fontId="17" fillId="10" borderId="1" applyAlignment="1" pivotButton="0" quotePrefix="0" xfId="1">
      <alignment horizontal="center" vertical="center"/>
    </xf>
    <xf numFmtId="164" fontId="11" fillId="3" borderId="0" pivotButton="0" quotePrefix="0" xfId="1"/>
    <xf numFmtId="164" fontId="31" fillId="0" borderId="0" pivotButton="0" quotePrefix="0" xfId="0"/>
    <xf numFmtId="164" fontId="21" fillId="0" borderId="0" applyAlignment="1" pivotButton="0" quotePrefix="0" xfId="1">
      <alignment vertical="center"/>
    </xf>
    <xf numFmtId="0" fontId="33" fillId="0" borderId="42" applyAlignment="1" pivotButton="0" quotePrefix="0" xfId="0">
      <alignment horizontal="center" vertical="top"/>
    </xf>
  </cellXfs>
  <cellStyles count="4">
    <cellStyle name="Normal" xfId="0" builtinId="0"/>
    <cellStyle name="Currency" xfId="1" builtinId="4"/>
    <cellStyle name="Normal 2" xfId="2"/>
    <cellStyle name="Moeda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I60"/>
  <sheetViews>
    <sheetView topLeftCell="A58" workbookViewId="0">
      <selection activeCell="C55" sqref="C55:G55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9.179687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2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>CRÉDITO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5.65" customHeight="1" s="131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19.5" customFormat="1" customHeight="1" s="9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19.5" customFormat="1" customHeight="1" s="9">
      <c r="A21" s="103" t="n"/>
      <c r="B21" s="104" t="n"/>
      <c r="C21" s="105" t="n"/>
      <c r="D21" s="106" t="n"/>
      <c r="E21" s="225" t="n"/>
      <c r="F21" s="111" t="n"/>
      <c r="G21" s="111" t="n"/>
    </row>
    <row r="22" ht="19.5" customFormat="1" customHeight="1" s="9">
      <c r="A22" s="107" t="n"/>
      <c r="B22" s="108" t="n"/>
      <c r="C22" s="109" t="n"/>
      <c r="D22" s="110" t="n"/>
      <c r="E22" s="226" t="n"/>
      <c r="F22" s="111" t="n"/>
      <c r="G22" s="111" t="n"/>
    </row>
    <row r="23" ht="19.5" customFormat="1" customHeight="1" s="9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11" t="n"/>
    </row>
    <row r="24" ht="19.5" customFormat="1" customHeight="1" s="9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11" t="n"/>
    </row>
    <row r="25" ht="19.5" customFormat="1" customHeight="1" s="9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11" t="n"/>
    </row>
    <row r="26" ht="19.5" customFormat="1" customHeight="1" s="9">
      <c r="A26" s="56" t="inlineStr">
        <is>
          <t>IFOOD - PAGO ONLINE</t>
        </is>
      </c>
      <c r="B26" s="57" t="n">
        <v>0</v>
      </c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11" t="n"/>
    </row>
    <row r="27" ht="19.5" customFormat="1" customHeight="1" s="9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11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11" t="n"/>
    </row>
    <row r="29" ht="20.25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8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123" t="inlineStr">
        <is>
          <t>PROLABORE</t>
        </is>
      </c>
      <c r="B60" s="117" t="n">
        <v>0</v>
      </c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C43:G43"/>
    <mergeCell ref="A1:G1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I60"/>
  <sheetViews>
    <sheetView topLeftCell="A55" workbookViewId="0">
      <selection activeCell="B55" sqref="B55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11" t="n"/>
      <c r="G19" s="111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75" t="n"/>
      <c r="G21" s="175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inlineStr">
        <is>
          <t>VALOR PAGO ONLINE E COM TODOS OS DESCONTOS</t>
        </is>
      </c>
      <c r="G24" s="175" t="n"/>
    </row>
    <row r="25" ht="20.25" customHeight="1" s="131">
      <c r="A25" s="56" t="inlineStr">
        <is>
          <t>IFOOD - PAGO LOJA</t>
        </is>
      </c>
      <c r="B25" s="57" t="n">
        <v>0</v>
      </c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>
        <v>0</v>
      </c>
      <c r="C26" s="97" t="n">
        <v>15.5</v>
      </c>
      <c r="D26" s="98">
        <f>B26*C26/100</f>
        <v/>
      </c>
      <c r="E26" s="223">
        <f>B26-D27</f>
        <v/>
      </c>
      <c r="F26" s="175" t="n"/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117" t="n">
        <v>0</v>
      </c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I60"/>
  <sheetViews>
    <sheetView topLeftCell="A55" workbookViewId="0">
      <selection activeCell="B42" sqref="B42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>
        <v>45658</v>
      </c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5.65" customHeight="1" s="131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19.5" customFormat="1" customHeight="1" s="9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15.6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>
        <v>0</v>
      </c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>
        <v>0</v>
      </c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20.2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20.25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8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117" t="n">
        <v>0</v>
      </c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I60"/>
  <sheetViews>
    <sheetView topLeftCell="A61" workbookViewId="0">
      <selection activeCell="B43" sqref="B43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5.5429687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2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5.65" customHeight="1" s="131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19.5" customFormat="1" customHeight="1" s="9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19.5" customFormat="1" customHeight="1" s="9">
      <c r="A21" s="103" t="n"/>
      <c r="B21" s="104" t="n"/>
      <c r="C21" s="105" t="n"/>
      <c r="D21" s="106" t="n"/>
      <c r="E21" s="225" t="n"/>
      <c r="F21" s="111" t="n"/>
      <c r="G21" s="111" t="n"/>
    </row>
    <row r="22" ht="19.5" customFormat="1" customHeight="1" s="9">
      <c r="A22" s="107" t="n"/>
      <c r="B22" s="108" t="n"/>
      <c r="C22" s="109" t="n"/>
      <c r="D22" s="110" t="n"/>
      <c r="E22" s="226" t="n"/>
      <c r="F22" s="111" t="n"/>
      <c r="G22" s="111" t="n"/>
    </row>
    <row r="23" ht="19.5" customFormat="1" customHeight="1" s="9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11" t="n"/>
    </row>
    <row r="24" ht="19.5" customFormat="1" customHeight="1" s="9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11" t="n"/>
    </row>
    <row r="25" ht="19.5" customFormat="1" customHeight="1" s="9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11" t="n"/>
    </row>
    <row r="26" ht="19.5" customFormat="1" customHeight="1" s="9">
      <c r="A26" s="56" t="inlineStr">
        <is>
          <t>IFOOD - PAGO ONLINE</t>
        </is>
      </c>
      <c r="B26" s="57" t="n">
        <v>0</v>
      </c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11" t="n"/>
    </row>
    <row r="27" ht="19.5" customFormat="1" customHeight="1" s="9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11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11" t="n"/>
    </row>
    <row r="29" ht="20.25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8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123" t="inlineStr">
        <is>
          <t>PROLABORE</t>
        </is>
      </c>
      <c r="B60" s="117" t="n">
        <v>0</v>
      </c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I60"/>
  <sheetViews>
    <sheetView topLeftCell="A52" workbookViewId="0">
      <selection activeCell="G2" sqref="G2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5.5429687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5.65" customHeight="1" s="131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9.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19.5" customFormat="1" customHeight="1" s="9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19.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19.5" customHeight="1" s="131">
      <c r="A22" s="124" t="n"/>
      <c r="B22" s="125" t="n"/>
      <c r="C22" s="126" t="n"/>
      <c r="D22" s="126" t="n"/>
      <c r="E22" s="230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20.2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20.25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8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116" t="inlineStr">
        <is>
          <t>PROLABORE</t>
        </is>
      </c>
      <c r="B60" s="117" t="n">
        <v>0</v>
      </c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tabColor theme="2" tint="-0.749992370372631"/>
    <outlinePr summaryBelow="1" summaryRight="1"/>
    <pageSetUpPr/>
  </sheetPr>
  <dimension ref="A1:I60"/>
  <sheetViews>
    <sheetView topLeftCell="A46" workbookViewId="0">
      <selection activeCell="B37" sqref="B37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>
        <v>45663</v>
      </c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41" t="n"/>
      <c r="G3" s="42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43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45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45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47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11" t="n"/>
      <c r="G17" s="111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58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180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5821.98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>
    <tabColor theme="2" tint="-0.749992370372631"/>
    <outlinePr summaryBelow="1" summaryRight="1"/>
    <pageSetUpPr/>
  </sheetPr>
  <dimension ref="A1:I60"/>
  <sheetViews>
    <sheetView topLeftCell="A49" workbookViewId="0">
      <selection activeCell="G3" sqref="G3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inlineStr">
        <is>
          <t>07/01/025</t>
        </is>
      </c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8.xml><?xml version="1.0" encoding="utf-8"?>
<worksheet xmlns="http://schemas.openxmlformats.org/spreadsheetml/2006/main">
  <sheetPr>
    <tabColor theme="2" tint="-0.749992370372631"/>
    <outlinePr summaryBelow="1" summaryRight="1"/>
    <pageSetUpPr/>
  </sheetPr>
  <dimension ref="A1:I60"/>
  <sheetViews>
    <sheetView topLeftCell="A46" workbookViewId="0">
      <selection activeCell="G2" sqref="G2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>
        <v>45665</v>
      </c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C43:G43"/>
    <mergeCell ref="A1:G1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9.xml><?xml version="1.0" encoding="utf-8"?>
<worksheet xmlns="http://schemas.openxmlformats.org/spreadsheetml/2006/main">
  <sheetPr>
    <tabColor theme="2" tint="-0.749992370372631"/>
    <outlinePr summaryBelow="1" summaryRight="1"/>
    <pageSetUpPr/>
  </sheetPr>
  <dimension ref="A1:I61"/>
  <sheetViews>
    <sheetView topLeftCell="A22" workbookViewId="0">
      <selection activeCell="G2" sqref="G2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9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127" t="n"/>
      <c r="B38" s="127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116" t="inlineStr">
        <is>
          <t>PROLABORE</t>
        </is>
      </c>
      <c r="B60" s="117" t="n"/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0.xml><?xml version="1.0" encoding="utf-8"?>
<worksheet xmlns="http://schemas.openxmlformats.org/spreadsheetml/2006/main">
  <sheetPr>
    <tabColor theme="2" tint="-0.749992370372631"/>
    <outlinePr summaryBelow="1" summaryRight="1"/>
    <pageSetUpPr/>
  </sheetPr>
  <dimension ref="A1:I61"/>
  <sheetViews>
    <sheetView topLeftCell="A40" workbookViewId="0">
      <selection activeCell="C50" sqref="C50:G50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>
        <v>45667</v>
      </c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128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37" t="n"/>
      <c r="B10" s="37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22.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6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I60"/>
  <sheetViews>
    <sheetView topLeftCell="A40" workbookViewId="0">
      <selection activeCell="C55" sqref="C55:G55"/>
    </sheetView>
  </sheetViews>
  <sheetFormatPr baseColWidth="8" defaultColWidth="9.08984375" defaultRowHeight="14.5"/>
  <cols>
    <col width="37.453125" bestFit="1" customWidth="1" style="204" min="1" max="1"/>
    <col width="15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>
        <v>45670</v>
      </c>
    </row>
    <row r="3" ht="24.75" customHeight="1" s="131">
      <c r="A3" s="40" t="inlineStr">
        <is>
          <t>TOTAL EM DINHEIRO:</t>
        </is>
      </c>
      <c r="B3" s="209" t="n">
        <v>3540</v>
      </c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129" t="n"/>
      <c r="B12" s="231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E PLANOS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5760.85</v>
      </c>
      <c r="C16" s="91" t="n">
        <v>0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PLANOS</t>
        </is>
      </c>
      <c r="B17" s="57" t="n">
        <v>171.02</v>
      </c>
      <c r="C17" s="91" t="n">
        <v>0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n"/>
      <c r="B18" s="57" t="n"/>
      <c r="C18" s="91" t="n">
        <v>0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n"/>
      <c r="B19" s="57" t="n">
        <v>0</v>
      </c>
      <c r="C19" s="91" t="n">
        <v>0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PLANOS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/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/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962.36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277.2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1304.85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I61"/>
  <sheetViews>
    <sheetView topLeftCell="A19" workbookViewId="0">
      <selection activeCell="C55" sqref="C55:G55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127" t="n"/>
      <c r="B44" s="127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I61"/>
  <sheetViews>
    <sheetView topLeftCell="A43" workbookViewId="0">
      <selection activeCell="C55" sqref="C55:G55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127" t="n"/>
      <c r="B44" s="127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C43:G43"/>
    <mergeCell ref="A1:G1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I60"/>
  <sheetViews>
    <sheetView topLeftCell="A10" workbookViewId="0">
      <selection activeCell="B16" sqref="B16:B19"/>
    </sheetView>
  </sheetViews>
  <sheetFormatPr baseColWidth="8" defaultColWidth="9.08984375" defaultRowHeight="14.5"/>
  <cols>
    <col width="37.453125" bestFit="1" customWidth="1" style="204" min="1" max="1"/>
    <col width="15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129" t="n"/>
      <c r="B12" s="231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7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I60"/>
  <sheetViews>
    <sheetView workbookViewId="0">
      <selection activeCell="D25" sqref="D25"/>
    </sheetView>
  </sheetViews>
  <sheetFormatPr baseColWidth="8" defaultColWidth="9.08984375" defaultRowHeight="14.5"/>
  <cols>
    <col width="37.453125" bestFit="1" customWidth="1" style="204" min="1" max="1"/>
    <col width="15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4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6.xml><?xml version="1.0" encoding="utf-8"?>
<worksheet xmlns="http://schemas.openxmlformats.org/spreadsheetml/2006/main">
  <sheetPr>
    <tabColor rgb="FFC00000"/>
    <outlinePr summaryBelow="1" summaryRight="1"/>
    <pageSetUpPr/>
  </sheetPr>
  <dimension ref="A1:I60"/>
  <sheetViews>
    <sheetView workbookViewId="0">
      <selection activeCell="B56" sqref="B56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596.35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7.xml><?xml version="1.0" encoding="utf-8"?>
<worksheet xmlns="http://schemas.openxmlformats.org/spreadsheetml/2006/main">
  <sheetPr>
    <tabColor rgb="FFC00000"/>
    <outlinePr summaryBelow="1" summaryRight="1"/>
    <pageSetUpPr/>
  </sheetPr>
  <dimension ref="A1:I60"/>
  <sheetViews>
    <sheetView topLeftCell="A34" workbookViewId="0">
      <selection activeCell="A63" sqref="A63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132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132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>
        <v>0</v>
      </c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>
        <v>0</v>
      </c>
      <c r="C17" s="91" t="n">
        <v>1.95</v>
      </c>
      <c r="D17" s="224">
        <f>B17*C17/100</f>
        <v/>
      </c>
      <c r="E17" s="223">
        <f>B17-D17</f>
        <v/>
      </c>
      <c r="F17" s="111" t="n"/>
      <c r="G17" s="111" t="n"/>
    </row>
    <row r="18" ht="19.5" customFormat="1" customHeight="1" s="9">
      <c r="A18" s="23" t="inlineStr">
        <is>
          <t>CRÉDITO CARLOS</t>
        </is>
      </c>
      <c r="B18" s="57" t="n">
        <v>0</v>
      </c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>
        <v>0</v>
      </c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8.xml><?xml version="1.0" encoding="utf-8"?>
<worksheet xmlns="http://schemas.openxmlformats.org/spreadsheetml/2006/main">
  <sheetPr>
    <tabColor rgb="FFC00000"/>
    <outlinePr summaryBelow="1" summaryRight="1"/>
    <pageSetUpPr/>
  </sheetPr>
  <dimension ref="A1:I60"/>
  <sheetViews>
    <sheetView topLeftCell="A13" workbookViewId="0">
      <selection activeCell="B16" sqref="B16:B19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132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132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111" t="n"/>
      <c r="G17" s="111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C43:G43"/>
    <mergeCell ref="A1:G1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19.xml><?xml version="1.0" encoding="utf-8"?>
<worksheet xmlns="http://schemas.openxmlformats.org/spreadsheetml/2006/main">
  <sheetPr>
    <tabColor rgb="FFC00000"/>
    <outlinePr summaryBelow="1" summaryRight="1"/>
    <pageSetUpPr/>
  </sheetPr>
  <dimension ref="A1:I61"/>
  <sheetViews>
    <sheetView workbookViewId="0">
      <selection activeCell="B16" sqref="B16:B19"/>
    </sheetView>
  </sheetViews>
  <sheetFormatPr baseColWidth="8" defaultColWidth="9.08984375" defaultRowHeight="14.5"/>
  <cols>
    <col width="37.453125" bestFit="1" customWidth="1" style="204" min="1" max="1"/>
    <col width="17.6328125" customWidth="1" style="204" min="2" max="2"/>
    <col width="16.6328125" customWidth="1" style="205" min="3" max="3"/>
    <col width="20.54296875" customWidth="1" style="204" min="4" max="4"/>
    <col width="21" customWidth="1" style="204" min="5" max="5"/>
    <col width="22.90625" customWidth="1" style="131" min="6" max="6"/>
    <col width="27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>CRÉDITO À VISTA</t>
        </is>
      </c>
      <c r="B16" s="57" t="n"/>
      <c r="C16" s="91" t="n">
        <v>4.99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/>
      <c r="C17" s="91" t="n">
        <v>2.6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2X</t>
        </is>
      </c>
      <c r="B18" s="57" t="n"/>
      <c r="C18" s="91" t="n">
        <v>9.49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CRÉDITO 3X</t>
        </is>
      </c>
      <c r="B19" s="57" t="n"/>
      <c r="C19" s="91" t="n">
        <v>11.49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/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/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/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/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/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/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/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/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/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/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0.xml><?xml version="1.0" encoding="utf-8"?>
<worksheet xmlns="http://schemas.openxmlformats.org/spreadsheetml/2006/main">
  <sheetPr>
    <tabColor rgb="FFC00000"/>
    <outlinePr summaryBelow="1" summaryRight="1"/>
    <pageSetUpPr/>
  </sheetPr>
  <dimension ref="A1:I60"/>
  <sheetViews>
    <sheetView topLeftCell="A52" workbookViewId="0">
      <selection activeCell="F26" sqref="F26"/>
    </sheetView>
  </sheetViews>
  <sheetFormatPr baseColWidth="8" defaultColWidth="9.08984375" defaultRowHeight="14.5"/>
  <cols>
    <col width="37.453125" bestFit="1" customWidth="1" style="204" min="1" max="1"/>
    <col width="16.3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n"/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/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/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A1:I60"/>
  <sheetViews>
    <sheetView workbookViewId="0">
      <selection activeCell="C53" sqref="C53:G53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>
        <v>45684</v>
      </c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46" t="n"/>
      <c r="B10" s="229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175" t="n"/>
      <c r="G17" s="175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75" t="n"/>
      <c r="G18" s="175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n"/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627.17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>
        <v>0</v>
      </c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2.xml><?xml version="1.0" encoding="utf-8"?>
<worksheet xmlns="http://schemas.openxmlformats.org/spreadsheetml/2006/main">
  <sheetPr>
    <tabColor rgb="FF7030A0"/>
    <outlinePr summaryBelow="1" summaryRight="1"/>
    <pageSetUpPr/>
  </sheetPr>
  <dimension ref="A1:I62"/>
  <sheetViews>
    <sheetView topLeftCell="A22" workbookViewId="0">
      <selection activeCell="B16" sqref="B16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132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132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55" t="n"/>
      <c r="G16" s="55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55" t="n"/>
      <c r="G17" s="55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>
        <v>0</v>
      </c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  <row r="62">
      <c r="A62" s="37" t="n"/>
      <c r="B62" s="37" t="n"/>
      <c r="C62" s="49" t="n"/>
      <c r="D62" s="37" t="n"/>
      <c r="E62" s="37" t="n"/>
      <c r="F62" s="175" t="n"/>
      <c r="G62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3.xml><?xml version="1.0" encoding="utf-8"?>
<worksheet xmlns="http://schemas.openxmlformats.org/spreadsheetml/2006/main">
  <sheetPr>
    <tabColor rgb="FF7030A0"/>
    <outlinePr summaryBelow="1" summaryRight="1"/>
    <pageSetUpPr/>
  </sheetPr>
  <dimension ref="A1:I62"/>
  <sheetViews>
    <sheetView topLeftCell="A31" workbookViewId="0">
      <selection activeCell="A62" sqref="A62:D62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132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132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B3-SUM(B5:B9)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55" t="n"/>
      <c r="G16" s="55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55" t="n"/>
      <c r="G17" s="55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>
        <v>0</v>
      </c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>
        <v>0</v>
      </c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>
        <v>0</v>
      </c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>
        <v>0</v>
      </c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>
        <v>0</v>
      </c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>
        <v>0</v>
      </c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>
        <v>0</v>
      </c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>
        <v>0</v>
      </c>
      <c r="C60" s="133" t="n"/>
      <c r="D60" s="134" t="n"/>
      <c r="E60" s="134" t="n"/>
      <c r="F60" s="134" t="n"/>
      <c r="G60" s="135" t="n"/>
    </row>
    <row r="61">
      <c r="A61" s="37" t="n"/>
      <c r="B61" s="37" t="n"/>
      <c r="C61" s="49" t="n"/>
      <c r="D61" s="37" t="n"/>
      <c r="E61" s="37" t="n"/>
      <c r="F61" s="175" t="n"/>
      <c r="G61" s="175" t="n"/>
    </row>
    <row r="62">
      <c r="A62" s="37" t="n"/>
      <c r="B62" s="37" t="n"/>
      <c r="C62" s="49" t="n"/>
      <c r="D62" s="37" t="n"/>
      <c r="E62" s="37" t="n"/>
      <c r="F62" s="175" t="n"/>
      <c r="G62" s="17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C43:G43"/>
    <mergeCell ref="A1:G1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4.xml><?xml version="1.0" encoding="utf-8"?>
<worksheet xmlns="http://schemas.openxmlformats.org/spreadsheetml/2006/main">
  <sheetPr>
    <tabColor rgb="FF7030A0"/>
    <outlinePr summaryBelow="1" summaryRight="1"/>
    <pageSetUpPr/>
  </sheetPr>
  <dimension ref="A1:I60"/>
  <sheetViews>
    <sheetView topLeftCell="A61" workbookViewId="0">
      <selection activeCell="F26" sqref="F26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111" t="n"/>
      <c r="G17" s="111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n"/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/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5.xml><?xml version="1.0" encoding="utf-8"?>
<worksheet xmlns="http://schemas.openxmlformats.org/spreadsheetml/2006/main">
  <sheetPr>
    <tabColor rgb="FF7030A0"/>
    <outlinePr summaryBelow="1" summaryRight="1"/>
    <pageSetUpPr/>
  </sheetPr>
  <dimension ref="A1:I60"/>
  <sheetViews>
    <sheetView topLeftCell="A7" workbookViewId="0">
      <selection activeCell="A23" sqref="A23:E23"/>
    </sheetView>
  </sheetViews>
  <sheetFormatPr baseColWidth="8" defaultColWidth="9.08984375" defaultRowHeight="14.5"/>
  <cols>
    <col width="37.453125" bestFit="1" customWidth="1" style="204" min="1" max="1"/>
    <col width="13.6328125" customWidth="1" style="204" min="2" max="2"/>
    <col width="11" customWidth="1" style="205" min="3" max="3"/>
    <col width="20.54296875" customWidth="1" style="204" min="4" max="4"/>
    <col width="21" customWidth="1" style="204" min="5" max="5"/>
    <col width="22.90625" customWidth="1" style="131" min="6" max="6"/>
    <col width="18.6328125" customWidth="1" style="131" min="7" max="7"/>
    <col width="9.08984375" customWidth="1" style="131" min="8" max="9"/>
    <col width="13.453125" bestFit="1" customWidth="1" style="131" min="10" max="10"/>
    <col width="9.08984375" customWidth="1" style="131" min="11" max="11"/>
    <col width="9.08984375" customWidth="1" style="131" min="12" max="16384"/>
  </cols>
  <sheetData>
    <row r="1" ht="33.75" customHeight="1" s="131">
      <c r="A1" s="174" t="inlineStr">
        <is>
          <t>PLANILHA DE CONTROLE DIÁRIO</t>
        </is>
      </c>
      <c r="B1" s="175" t="n"/>
      <c r="C1" s="175" t="n"/>
      <c r="D1" s="175" t="n"/>
      <c r="E1" s="175" t="n"/>
      <c r="F1" s="175" t="n"/>
      <c r="G1" s="175" t="n"/>
    </row>
    <row r="2" ht="21" customHeight="1" s="131">
      <c r="A2" s="196" t="inlineStr">
        <is>
          <t>DINHEIRO</t>
        </is>
      </c>
      <c r="B2" s="188" t="n"/>
      <c r="C2" s="49" t="n"/>
      <c r="D2" s="37" t="n"/>
      <c r="E2" s="37" t="n"/>
      <c r="F2" s="38" t="inlineStr">
        <is>
          <t>DATA:</t>
        </is>
      </c>
      <c r="G2" s="39" t="n"/>
    </row>
    <row r="3" ht="24.75" customHeight="1" s="131">
      <c r="A3" s="40" t="inlineStr">
        <is>
          <t>TOTAL EM DINHEIRO:</t>
        </is>
      </c>
      <c r="B3" s="209" t="n"/>
      <c r="C3" s="37" t="n"/>
      <c r="D3" s="37" t="n"/>
      <c r="E3" s="37" t="n"/>
      <c r="F3" s="119" t="n"/>
      <c r="G3" s="120" t="inlineStr">
        <is>
          <t>FAT. LIQUIDO</t>
        </is>
      </c>
      <c r="H3" s="3" t="n"/>
      <c r="I3" s="3" t="n"/>
    </row>
    <row r="4" ht="21" customHeight="1" s="131">
      <c r="A4" s="189" t="inlineStr">
        <is>
          <t>DESPESAS PAGAS COM O DINHEIRO DO CAIXA</t>
        </is>
      </c>
      <c r="B4" s="190" t="n"/>
      <c r="C4" s="37" t="n"/>
      <c r="D4" s="37" t="n"/>
      <c r="E4" s="37" t="n"/>
      <c r="F4" s="121" t="inlineStr">
        <is>
          <t>DINHEIRO</t>
        </is>
      </c>
      <c r="G4" s="210">
        <f>B3</f>
        <v/>
      </c>
      <c r="H4" s="3" t="n"/>
      <c r="I4" s="3" t="n"/>
    </row>
    <row r="5" ht="18.75" customHeight="1" s="131">
      <c r="A5" s="44" t="n"/>
      <c r="B5" s="211" t="n"/>
      <c r="C5" s="37" t="n"/>
      <c r="D5" s="37" t="n"/>
      <c r="E5" s="37" t="n"/>
      <c r="F5" s="122" t="inlineStr">
        <is>
          <t>CARTÃO</t>
        </is>
      </c>
      <c r="G5" s="212">
        <f>E20</f>
        <v/>
      </c>
      <c r="H5" s="3" t="n"/>
      <c r="I5" s="4" t="n"/>
    </row>
    <row r="6" ht="18.75" customHeight="1" s="131">
      <c r="A6" s="44" t="n"/>
      <c r="B6" s="211" t="n"/>
      <c r="C6" s="37" t="n"/>
      <c r="D6" s="37" t="n"/>
      <c r="E6" s="37" t="n"/>
      <c r="F6" s="122" t="inlineStr">
        <is>
          <t>IFOOD</t>
        </is>
      </c>
      <c r="G6" s="213">
        <f>E27</f>
        <v/>
      </c>
      <c r="H6" s="3" t="n"/>
      <c r="I6" s="3" t="n"/>
    </row>
    <row r="7" ht="18.75" customHeight="1" s="131">
      <c r="A7" s="44" t="n"/>
      <c r="B7" s="211" t="n"/>
      <c r="C7" s="37" t="n"/>
      <c r="D7" s="37" t="n"/>
      <c r="E7" s="37" t="n"/>
      <c r="F7" s="81" t="inlineStr">
        <is>
          <t>FAT. TOTAL:</t>
        </is>
      </c>
      <c r="G7" s="214">
        <f>G4+G5+G6</f>
        <v/>
      </c>
      <c r="H7" s="3" t="n"/>
      <c r="I7" s="3" t="n"/>
    </row>
    <row r="8" ht="18.75" customHeight="1" s="131">
      <c r="A8" s="44" t="n"/>
      <c r="B8" s="211" t="n"/>
      <c r="C8" s="37" t="n"/>
      <c r="D8" s="37" t="n"/>
      <c r="E8" s="37" t="n"/>
      <c r="F8" s="82" t="inlineStr">
        <is>
          <t>DESP. ALIMENTAR</t>
        </is>
      </c>
      <c r="G8" s="215">
        <f>B37</f>
        <v/>
      </c>
      <c r="H8" s="3" t="n"/>
      <c r="I8" s="3" t="n"/>
    </row>
    <row r="9" ht="18.75" customHeight="1" s="131">
      <c r="A9" s="44" t="n"/>
      <c r="B9" s="211" t="n"/>
      <c r="C9" s="37" t="n"/>
      <c r="D9" s="37" t="n"/>
      <c r="E9" s="37" t="n"/>
      <c r="F9" s="83" t="inlineStr">
        <is>
          <t>DESP. MÃO DE OBRA</t>
        </is>
      </c>
      <c r="G9" s="216">
        <f>B43</f>
        <v/>
      </c>
      <c r="H9" s="3" t="n"/>
      <c r="I9" s="3" t="n"/>
    </row>
    <row r="10" ht="18.75" customHeight="1" s="131">
      <c r="A10" s="128" t="n"/>
      <c r="B10" s="211" t="n"/>
      <c r="C10" s="37" t="n"/>
      <c r="D10" s="37" t="n"/>
      <c r="E10" s="37" t="n"/>
      <c r="F10" s="84" t="inlineStr">
        <is>
          <t>DESP. GERAIS</t>
        </is>
      </c>
      <c r="G10" s="217">
        <f>B58</f>
        <v/>
      </c>
      <c r="H10" s="3" t="n"/>
      <c r="I10" s="3" t="n"/>
    </row>
    <row r="11" ht="20.25" customHeight="1" s="131">
      <c r="A11" s="118" t="inlineStr">
        <is>
          <t>TOTAL:</t>
        </is>
      </c>
      <c r="B11" s="218">
        <f>B3-SUM(B5:B10)</f>
        <v/>
      </c>
      <c r="C11" s="49" t="n"/>
      <c r="D11" s="49" t="n"/>
      <c r="E11" s="49" t="n"/>
      <c r="F11" s="85" t="inlineStr">
        <is>
          <t>PROLABORE</t>
        </is>
      </c>
      <c r="G11" s="219">
        <f>B60</f>
        <v/>
      </c>
      <c r="H11" s="3" t="n"/>
      <c r="I11" s="3" t="n"/>
    </row>
    <row r="12" ht="20.25" customHeight="1" s="131">
      <c r="A12" s="48" t="n"/>
      <c r="B12" s="220" t="n"/>
      <c r="C12" s="49" t="n"/>
      <c r="D12" s="49" t="n"/>
      <c r="E12" s="49" t="n"/>
      <c r="F12" s="86" t="inlineStr">
        <is>
          <t>LUCRO TOTAL:</t>
        </is>
      </c>
      <c r="G12" s="221">
        <f>G7-G8-G9-G10-G11</f>
        <v/>
      </c>
      <c r="H12" s="3" t="n"/>
      <c r="I12" s="3" t="n"/>
    </row>
    <row r="13" ht="20.25" customHeight="1" s="131">
      <c r="A13" s="48" t="n"/>
      <c r="B13" s="220" t="n"/>
      <c r="C13" s="49" t="n"/>
      <c r="D13" s="49" t="n"/>
      <c r="E13" s="49" t="n"/>
      <c r="F13" s="50" t="n"/>
      <c r="G13" s="228" t="n"/>
      <c r="H13" s="3" t="n"/>
      <c r="I13" s="3" t="n"/>
    </row>
    <row r="14" ht="22.5" customFormat="1" customHeight="1" s="10">
      <c r="A14" s="187" t="inlineStr">
        <is>
          <t>CARTÃO DE CRÉDITO</t>
        </is>
      </c>
      <c r="B14" s="188" t="n"/>
      <c r="C14" s="188" t="n"/>
      <c r="D14" s="188" t="n"/>
      <c r="E14" s="188" t="n"/>
      <c r="F14" s="50" t="n"/>
      <c r="G14" s="222" t="n"/>
    </row>
    <row r="15" ht="18.75" customFormat="1" customHeight="1" s="9">
      <c r="A15" s="51" t="inlineStr">
        <is>
          <t>CARTÃO</t>
        </is>
      </c>
      <c r="B15" s="52" t="inlineStr">
        <is>
          <t>VALOR</t>
        </is>
      </c>
      <c r="C15" s="52" t="inlineStr">
        <is>
          <t xml:space="preserve">TAXA % </t>
        </is>
      </c>
      <c r="D15" s="53" t="inlineStr">
        <is>
          <t>DESCONTO</t>
        </is>
      </c>
      <c r="E15" s="54" t="inlineStr">
        <is>
          <t>VALOR LIQUIDO</t>
        </is>
      </c>
      <c r="F15" s="55" t="n"/>
      <c r="G15" s="55" t="n"/>
    </row>
    <row r="16" ht="15.65" customHeight="1" s="131">
      <c r="A16" s="56" t="inlineStr">
        <is>
          <t xml:space="preserve">CRÉDITO </t>
        </is>
      </c>
      <c r="B16" s="57" t="n"/>
      <c r="C16" s="91" t="n">
        <v>3.09</v>
      </c>
      <c r="D16" s="92">
        <f>B16*C16/100</f>
        <v/>
      </c>
      <c r="E16" s="223">
        <f>B16-D16</f>
        <v/>
      </c>
      <c r="F16" s="111" t="n"/>
      <c r="G16" s="111" t="n"/>
    </row>
    <row r="17" ht="15.65" customHeight="1" s="131">
      <c r="A17" s="56" t="inlineStr">
        <is>
          <t>DÉBITO</t>
        </is>
      </c>
      <c r="B17" s="57" t="n"/>
      <c r="C17" s="91" t="n">
        <v>1.95</v>
      </c>
      <c r="D17" s="224">
        <f>B17*C17/100</f>
        <v/>
      </c>
      <c r="E17" s="223">
        <f>B17-D17</f>
        <v/>
      </c>
      <c r="F17" s="111" t="n"/>
      <c r="G17" s="111" t="n"/>
    </row>
    <row r="18" ht="19.5" customFormat="1" customHeight="1" s="9">
      <c r="A18" s="23" t="inlineStr">
        <is>
          <t>CRÉDITO CARLOS</t>
        </is>
      </c>
      <c r="B18" s="57" t="n"/>
      <c r="C18" s="91" t="n">
        <v>2</v>
      </c>
      <c r="D18" s="224">
        <f>B18*C18/100</f>
        <v/>
      </c>
      <c r="E18" s="223">
        <f>B18-D18</f>
        <v/>
      </c>
      <c r="F18" s="111" t="n"/>
      <c r="G18" s="111" t="n"/>
    </row>
    <row r="19" ht="15.65" customHeight="1" s="131">
      <c r="A19" s="23" t="inlineStr">
        <is>
          <t>DÉBITO CARLOS</t>
        </is>
      </c>
      <c r="B19" s="57" t="n"/>
      <c r="C19" s="91" t="n">
        <v>2</v>
      </c>
      <c r="D19" s="224">
        <f>B19*C19/100</f>
        <v/>
      </c>
      <c r="E19" s="223">
        <f>B19-D19</f>
        <v/>
      </c>
      <c r="F19" s="175" t="n"/>
      <c r="G19" s="175" t="n"/>
    </row>
    <row r="20" ht="20.25" customHeight="1" s="131">
      <c r="A20" s="87" t="inlineStr">
        <is>
          <t>TOTAL EM CARTÃO</t>
        </is>
      </c>
      <c r="B20" s="88">
        <f>SUM(B16:B19)</f>
        <v/>
      </c>
      <c r="C20" s="89" t="n"/>
      <c r="D20" s="90">
        <f>SUM(D16:D19)</f>
        <v/>
      </c>
      <c r="E20" s="218">
        <f>SUM(E16:E19)</f>
        <v/>
      </c>
      <c r="F20" s="175" t="n"/>
      <c r="G20" s="175" t="n"/>
    </row>
    <row r="21" ht="20.25" customHeight="1" s="131">
      <c r="A21" s="59" t="n"/>
      <c r="B21" s="60" t="n"/>
      <c r="C21" s="61" t="n"/>
      <c r="D21" s="61" t="n"/>
      <c r="E21" s="227" t="n"/>
      <c r="F21" s="111" t="n"/>
      <c r="G21" s="111" t="n"/>
    </row>
    <row r="22" ht="20.25" customHeight="1" s="131">
      <c r="A22" s="62" t="n"/>
      <c r="B22" s="63" t="n"/>
      <c r="C22" s="49" t="n"/>
      <c r="D22" s="37" t="n"/>
      <c r="E22" s="37" t="n"/>
      <c r="F22" s="175" t="n"/>
      <c r="G22" s="175" t="n"/>
    </row>
    <row r="23" ht="20.25" customHeight="1" s="131">
      <c r="A23" s="182" t="inlineStr">
        <is>
          <t>IFOOD</t>
        </is>
      </c>
      <c r="B23" s="183" t="n"/>
      <c r="C23" s="183" t="n"/>
      <c r="D23" s="183" t="n"/>
      <c r="E23" s="183" t="n"/>
      <c r="F23" s="175" t="n"/>
      <c r="G23" s="175" t="n"/>
    </row>
    <row r="24" ht="20.25" customHeight="1" s="131">
      <c r="A24" s="51" t="inlineStr">
        <is>
          <t>CARTÃO</t>
        </is>
      </c>
      <c r="B24" s="52" t="inlineStr">
        <is>
          <t>VALOR</t>
        </is>
      </c>
      <c r="C24" s="95" t="inlineStr">
        <is>
          <t xml:space="preserve">TAXA % </t>
        </is>
      </c>
      <c r="D24" s="96" t="inlineStr">
        <is>
          <t>DESCONTO</t>
        </is>
      </c>
      <c r="E24" s="194" t="inlineStr">
        <is>
          <t>VALOR LIQUIDO ONLINE</t>
        </is>
      </c>
      <c r="F24" s="175" t="n"/>
      <c r="G24" s="175" t="n"/>
    </row>
    <row r="25" ht="20.25" customHeight="1" s="131">
      <c r="A25" s="56" t="inlineStr">
        <is>
          <t>IFOOD - PAGO LOJA</t>
        </is>
      </c>
      <c r="B25" s="57" t="n"/>
      <c r="C25" s="97" t="n">
        <v>12</v>
      </c>
      <c r="D25" s="98">
        <f>B25*C25/100</f>
        <v/>
      </c>
      <c r="E25" s="195" t="n"/>
      <c r="F25" s="175" t="n"/>
      <c r="G25" s="175" t="n"/>
    </row>
    <row r="26" ht="20.25" customHeight="1" s="131">
      <c r="A26" s="56" t="inlineStr">
        <is>
          <t>IFOOD - PAGO ONLINE</t>
        </is>
      </c>
      <c r="B26" s="57" t="n"/>
      <c r="C26" s="97" t="n">
        <v>15.5</v>
      </c>
      <c r="D26" s="98">
        <f>B26*C26/100</f>
        <v/>
      </c>
      <c r="E26" s="223">
        <f>B26-D27</f>
        <v/>
      </c>
      <c r="F26" s="175" t="inlineStr">
        <is>
          <t>VALOR PAGO ONLINE E COM TODOS OS DESCONTOS</t>
        </is>
      </c>
      <c r="G26" s="175" t="n"/>
    </row>
    <row r="27" ht="20.25" customHeight="1" s="131">
      <c r="A27" s="87" t="inlineStr">
        <is>
          <t>TOTAL EM IFOOD</t>
        </is>
      </c>
      <c r="B27" s="88">
        <f>SUM(B25:B26)</f>
        <v/>
      </c>
      <c r="C27" s="93" t="n"/>
      <c r="D27" s="94">
        <f>SUM(D25:D26)</f>
        <v/>
      </c>
      <c r="E27" s="218">
        <f>SUM(E25:E26)</f>
        <v/>
      </c>
      <c r="F27" s="175" t="n"/>
      <c r="G27" s="175" t="n"/>
    </row>
    <row r="28" ht="15.65" customHeight="1" s="131">
      <c r="A28" s="59" t="n"/>
      <c r="B28" s="60" t="n"/>
      <c r="C28" s="61" t="n"/>
      <c r="D28" s="61" t="n"/>
      <c r="E28" s="227" t="n"/>
      <c r="F28" s="175" t="n"/>
      <c r="G28" s="175" t="n"/>
    </row>
    <row r="29" ht="18" customHeight="1" s="131" thickBot="1">
      <c r="A29" s="62" t="n"/>
      <c r="B29" s="63" t="n"/>
      <c r="C29" s="49" t="n"/>
      <c r="D29" s="37" t="n"/>
      <c r="E29" s="37" t="n"/>
      <c r="F29" s="175" t="n"/>
      <c r="G29" s="175" t="n"/>
    </row>
    <row r="30" ht="18" customHeight="1" s="131" thickBot="1">
      <c r="A30" s="191" t="inlineStr">
        <is>
          <t xml:space="preserve">DESPESAS NO DIA </t>
        </is>
      </c>
      <c r="B30" s="192" t="n"/>
      <c r="C30" s="191" t="inlineStr">
        <is>
          <t>OBSERVAÇÕES</t>
        </is>
      </c>
      <c r="D30" s="193" t="n"/>
      <c r="E30" s="193" t="n"/>
      <c r="F30" s="193" t="n"/>
      <c r="G30" s="192" t="n"/>
    </row>
    <row r="31" ht="15" customHeight="1" s="131" thickBot="1">
      <c r="A31" s="65" t="inlineStr">
        <is>
          <t>CUSTO ALIMENTAR</t>
        </is>
      </c>
      <c r="B31" s="66" t="n"/>
      <c r="C31" s="112" t="n"/>
      <c r="D31" s="112" t="n"/>
      <c r="E31" s="112" t="n"/>
      <c r="F31" s="112" t="n"/>
      <c r="G31" s="112" t="n"/>
    </row>
    <row r="32" ht="15" customHeight="1" s="131" thickBot="1">
      <c r="A32" s="67" t="inlineStr">
        <is>
          <t>GENEROS ALIMENTICIOS</t>
        </is>
      </c>
      <c r="B32" s="68" t="n"/>
      <c r="C32" s="176" t="n"/>
      <c r="D32" s="177" t="n"/>
      <c r="E32" s="177" t="n"/>
      <c r="F32" s="177" t="n"/>
      <c r="G32" s="178" t="n"/>
    </row>
    <row r="33" ht="15" customHeight="1" s="131" thickBot="1">
      <c r="A33" s="67" t="inlineStr">
        <is>
          <t>GENEROS DESCARTAVEIS</t>
        </is>
      </c>
      <c r="B33" s="68" t="n"/>
      <c r="C33" s="176" t="n"/>
      <c r="D33" s="177" t="n"/>
      <c r="E33" s="177" t="n"/>
      <c r="F33" s="177" t="n"/>
      <c r="G33" s="178" t="n"/>
    </row>
    <row r="34" ht="15" customHeight="1" s="131" thickBot="1">
      <c r="A34" s="67" t="inlineStr">
        <is>
          <t>GENEROS DE LIMPEZA</t>
        </is>
      </c>
      <c r="B34" s="68" t="n"/>
      <c r="C34" s="179" t="n"/>
      <c r="D34" s="180" t="n"/>
      <c r="E34" s="180" t="n"/>
      <c r="F34" s="180" t="n"/>
      <c r="G34" s="181" t="n"/>
    </row>
    <row r="35" ht="15" customHeight="1" s="131" thickBot="1">
      <c r="A35" s="67" t="inlineStr">
        <is>
          <t xml:space="preserve"> FRETES E CARRETOS</t>
        </is>
      </c>
      <c r="B35" s="68" t="n"/>
      <c r="C35" s="184" t="n"/>
      <c r="D35" s="185" t="n"/>
      <c r="E35" s="185" t="n"/>
      <c r="F35" s="185" t="n"/>
      <c r="G35" s="186" t="n"/>
    </row>
    <row r="36" ht="15" customHeight="1" s="131" thickBot="1">
      <c r="A36" s="67" t="inlineStr">
        <is>
          <t>HIGIENIZACAO - TIA DA LIMPEZA</t>
        </is>
      </c>
      <c r="B36" s="68" t="n"/>
      <c r="C36" s="184" t="n"/>
      <c r="D36" s="185" t="n"/>
      <c r="E36" s="185" t="n"/>
      <c r="F36" s="185" t="n"/>
      <c r="G36" s="186" t="n"/>
    </row>
    <row r="37">
      <c r="A37" s="99" t="inlineStr">
        <is>
          <t>TOTAL - CUSTO ALIMENTAR</t>
        </is>
      </c>
      <c r="B37" s="100">
        <f>SUM(B32:B36)</f>
        <v/>
      </c>
      <c r="C37" s="113" t="n"/>
      <c r="D37" s="113" t="n"/>
      <c r="E37" s="113" t="n"/>
      <c r="F37" s="113" t="n"/>
      <c r="G37" s="113" t="n"/>
    </row>
    <row r="38" ht="15" customHeight="1" s="131" thickBot="1">
      <c r="A38" s="69" t="n"/>
      <c r="B38" s="69" t="n"/>
      <c r="C38" s="115" t="n"/>
      <c r="D38" s="115" t="n"/>
      <c r="E38" s="115" t="n"/>
      <c r="F38" s="115" t="n"/>
      <c r="G38" s="115" t="n"/>
    </row>
    <row r="39" ht="15" customHeight="1" s="131" thickBot="1">
      <c r="A39" s="70" t="inlineStr">
        <is>
          <t>MÃO DE OBRA</t>
        </is>
      </c>
      <c r="B39" s="71" t="n"/>
      <c r="C39" s="72" t="n"/>
      <c r="D39" s="72" t="n"/>
      <c r="E39" s="72" t="n"/>
      <c r="F39" s="72" t="n"/>
      <c r="G39" s="73" t="n"/>
    </row>
    <row r="40" ht="15" customHeight="1" s="131" thickBot="1">
      <c r="A40" s="74" t="inlineStr">
        <is>
          <t>SALARIO DOS FUNCIONÁRIOS</t>
        </is>
      </c>
      <c r="B40" s="75" t="n">
        <v>0</v>
      </c>
      <c r="C40" s="176" t="n"/>
      <c r="D40" s="177" t="n"/>
      <c r="E40" s="177" t="n"/>
      <c r="F40" s="177" t="n"/>
      <c r="G40" s="178" t="n"/>
    </row>
    <row r="41" ht="15" customHeight="1" s="131" thickBot="1">
      <c r="A41" s="67" t="inlineStr">
        <is>
          <t>ALIMENTACAO</t>
        </is>
      </c>
      <c r="B41" s="68" t="n"/>
      <c r="C41" s="176" t="n"/>
      <c r="D41" s="177" t="n"/>
      <c r="E41" s="177" t="n"/>
      <c r="F41" s="177" t="n"/>
      <c r="G41" s="178" t="n"/>
    </row>
    <row r="42" ht="15" customHeight="1" s="131" thickBot="1">
      <c r="A42" s="67" t="inlineStr">
        <is>
          <t>VALE TRANSPORTE</t>
        </is>
      </c>
      <c r="B42" s="68" t="n">
        <v>0</v>
      </c>
      <c r="C42" s="179" t="n"/>
      <c r="D42" s="180" t="n"/>
      <c r="E42" s="180" t="n"/>
      <c r="F42" s="180" t="n"/>
      <c r="G42" s="181" t="n"/>
    </row>
    <row r="43" ht="15" customHeight="1" s="131" thickBot="1">
      <c r="A43" s="101" t="inlineStr">
        <is>
          <t>TOTAL - MÃO DE OBRA</t>
        </is>
      </c>
      <c r="B43" s="102">
        <f>SUM(B40:B42)</f>
        <v/>
      </c>
      <c r="C43" s="197" t="n"/>
      <c r="D43" s="193" t="n"/>
      <c r="E43" s="193" t="n"/>
      <c r="F43" s="193" t="n"/>
      <c r="G43" s="192" t="n"/>
    </row>
    <row r="44" ht="15" customHeight="1" s="131" thickBot="1">
      <c r="A44" s="69" t="n"/>
      <c r="B44" s="69" t="n"/>
      <c r="C44" s="115" t="n"/>
      <c r="D44" s="115" t="n"/>
      <c r="E44" s="115" t="n"/>
      <c r="F44" s="115" t="n"/>
      <c r="G44" s="115" t="n"/>
    </row>
    <row r="45" ht="15" customHeight="1" s="131" thickBot="1">
      <c r="A45" s="70" t="inlineStr">
        <is>
          <t>DESPESAS OPERACIONAIS</t>
        </is>
      </c>
      <c r="B45" s="71" t="n"/>
      <c r="C45" s="72" t="n"/>
      <c r="D45" s="72" t="n"/>
      <c r="E45" s="72" t="n"/>
      <c r="F45" s="72" t="n"/>
      <c r="G45" s="73" t="n"/>
    </row>
    <row r="46" ht="15" customHeight="1" s="131" thickBot="1">
      <c r="A46" s="74" t="inlineStr">
        <is>
          <t>ÁGUA</t>
        </is>
      </c>
      <c r="B46" s="76" t="n">
        <v>0</v>
      </c>
      <c r="C46" s="176" t="n"/>
      <c r="D46" s="177" t="n"/>
      <c r="E46" s="177" t="n"/>
      <c r="F46" s="177" t="n"/>
      <c r="G46" s="178" t="n"/>
    </row>
    <row r="47" ht="15" customHeight="1" s="131" thickBot="1">
      <c r="A47" s="67" t="inlineStr">
        <is>
          <t>LUZ (ENERGIA)</t>
        </is>
      </c>
      <c r="B47" s="77" t="n">
        <v>0</v>
      </c>
      <c r="C47" s="176" t="n"/>
      <c r="D47" s="177" t="n"/>
      <c r="E47" s="177" t="n"/>
      <c r="F47" s="177" t="n"/>
      <c r="G47" s="178" t="n"/>
    </row>
    <row r="48" ht="15" customHeight="1" s="131" thickBot="1">
      <c r="A48" s="67" t="inlineStr">
        <is>
          <t>GÁS</t>
        </is>
      </c>
      <c r="B48" s="77" t="n">
        <v>0</v>
      </c>
      <c r="C48" s="179" t="n"/>
      <c r="D48" s="180" t="n"/>
      <c r="E48" s="180" t="n"/>
      <c r="F48" s="180" t="n"/>
      <c r="G48" s="181" t="n"/>
    </row>
    <row r="49" ht="15" customHeight="1" s="131" thickBot="1">
      <c r="A49" s="67" t="inlineStr">
        <is>
          <t>MANUTENCOES E REPAROS</t>
        </is>
      </c>
      <c r="B49" s="68" t="n">
        <v>0</v>
      </c>
      <c r="C49" s="176" t="n"/>
      <c r="D49" s="177" t="n"/>
      <c r="E49" s="177" t="n"/>
      <c r="F49" s="177" t="n"/>
      <c r="G49" s="178" t="n"/>
    </row>
    <row r="50" ht="15" customHeight="1" s="131" thickBot="1">
      <c r="A50" s="67" t="inlineStr">
        <is>
          <t xml:space="preserve">INTERNET </t>
        </is>
      </c>
      <c r="B50" s="68" t="n">
        <v>0</v>
      </c>
      <c r="C50" s="176" t="n"/>
      <c r="D50" s="177" t="n"/>
      <c r="E50" s="177" t="n"/>
      <c r="F50" s="177" t="n"/>
      <c r="G50" s="178" t="n"/>
    </row>
    <row r="51" ht="15" customHeight="1" s="131" thickBot="1">
      <c r="A51" s="67" t="inlineStr">
        <is>
          <t>TELEFONE / FAX</t>
        </is>
      </c>
      <c r="B51" s="68" t="n">
        <v>0</v>
      </c>
      <c r="C51" s="179" t="n"/>
      <c r="D51" s="180" t="n"/>
      <c r="E51" s="180" t="n"/>
      <c r="F51" s="180" t="n"/>
      <c r="G51" s="181" t="n"/>
    </row>
    <row r="52" ht="15" customHeight="1" s="131" thickBot="1">
      <c r="A52" s="67" t="inlineStr">
        <is>
          <t>UNIFORMES</t>
        </is>
      </c>
      <c r="B52" s="68" t="n">
        <v>0</v>
      </c>
      <c r="C52" s="176" t="n"/>
      <c r="D52" s="177" t="n"/>
      <c r="E52" s="177" t="n"/>
      <c r="F52" s="177" t="n"/>
      <c r="G52" s="178" t="n"/>
    </row>
    <row r="53" ht="15" customHeight="1" s="131" thickBot="1">
      <c r="A53" s="67" t="inlineStr">
        <is>
          <t>UTENSILIOS</t>
        </is>
      </c>
      <c r="B53" s="68" t="n"/>
      <c r="C53" s="176" t="n"/>
      <c r="D53" s="177" t="n"/>
      <c r="E53" s="177" t="n"/>
      <c r="F53" s="177" t="n"/>
      <c r="G53" s="178" t="n"/>
    </row>
    <row r="54" ht="15" customHeight="1" s="131" thickBot="1">
      <c r="A54" s="67" t="inlineStr">
        <is>
          <t>EPI - PROTECAO INDIVIDUAL</t>
        </is>
      </c>
      <c r="B54" s="68" t="n">
        <v>0</v>
      </c>
      <c r="C54" s="179" t="n"/>
      <c r="D54" s="180" t="n"/>
      <c r="E54" s="180" t="n"/>
      <c r="F54" s="180" t="n"/>
      <c r="G54" s="181" t="n"/>
    </row>
    <row r="55" ht="15" customHeight="1" s="131" thickBot="1">
      <c r="A55" s="67" t="inlineStr">
        <is>
          <t>OUTROS CUSTOS GERAIS</t>
        </is>
      </c>
      <c r="B55" s="68" t="n">
        <v>0</v>
      </c>
      <c r="C55" s="176" t="n"/>
      <c r="D55" s="177" t="n"/>
      <c r="E55" s="177" t="n"/>
      <c r="F55" s="177" t="n"/>
      <c r="G55" s="178" t="n"/>
    </row>
    <row r="56" ht="15" customHeight="1" s="131" thickBot="1">
      <c r="A56" s="67" t="inlineStr">
        <is>
          <t>REEMBOLSO DE LOCOMOCAO</t>
        </is>
      </c>
      <c r="B56" s="68" t="n">
        <v>0</v>
      </c>
      <c r="C56" s="176" t="n"/>
      <c r="D56" s="177" t="n"/>
      <c r="E56" s="177" t="n"/>
      <c r="F56" s="177" t="n"/>
      <c r="G56" s="178" t="n"/>
    </row>
    <row r="57" ht="15" customHeight="1" s="131" thickBot="1">
      <c r="A57" s="67" t="inlineStr">
        <is>
          <t>COPIAS E IMPRESSOES</t>
        </is>
      </c>
      <c r="B57" s="68" t="n">
        <v>0</v>
      </c>
      <c r="C57" s="179" t="n"/>
      <c r="D57" s="180" t="n"/>
      <c r="E57" s="180" t="n"/>
      <c r="F57" s="180" t="n"/>
      <c r="G57" s="181" t="n"/>
    </row>
    <row r="58">
      <c r="A58" s="99" t="inlineStr">
        <is>
          <t>TOTAL - DESPESAS OPERACIONAIS</t>
        </is>
      </c>
      <c r="B58" s="100">
        <f>SUM(B46:B57)</f>
        <v/>
      </c>
      <c r="C58" s="114" t="n"/>
      <c r="D58" s="114" t="n"/>
      <c r="E58" s="114" t="n"/>
      <c r="F58" s="114" t="n"/>
      <c r="G58" s="114" t="n"/>
    </row>
    <row r="59" ht="15" customHeight="1" s="131" thickBot="1">
      <c r="A59" s="78" t="n"/>
      <c r="B59" s="78" t="n"/>
      <c r="C59" s="115" t="n"/>
      <c r="D59" s="115" t="n"/>
      <c r="E59" s="115" t="n"/>
      <c r="F59" s="115" t="n"/>
      <c r="G59" s="115" t="n"/>
    </row>
    <row r="60" ht="15" customHeight="1" s="131" thickBot="1">
      <c r="A60" s="79" t="inlineStr">
        <is>
          <t>PROLABORE</t>
        </is>
      </c>
      <c r="B60" s="80" t="n"/>
      <c r="C60" s="133" t="n"/>
      <c r="D60" s="134" t="n"/>
      <c r="E60" s="134" t="n"/>
      <c r="F60" s="134" t="n"/>
      <c r="G60" s="135" t="n"/>
    </row>
  </sheetData>
  <mergeCells count="29">
    <mergeCell ref="C49:G49"/>
    <mergeCell ref="A30:B30"/>
    <mergeCell ref="C30:G30"/>
    <mergeCell ref="C34:G34"/>
    <mergeCell ref="C42:G42"/>
    <mergeCell ref="C33:G33"/>
    <mergeCell ref="C35:G35"/>
    <mergeCell ref="C47:G47"/>
    <mergeCell ref="C54:G54"/>
    <mergeCell ref="C50:G50"/>
    <mergeCell ref="C41:G41"/>
    <mergeCell ref="C55:G55"/>
    <mergeCell ref="C40:G40"/>
    <mergeCell ref="C56:G56"/>
    <mergeCell ref="A2:B2"/>
    <mergeCell ref="A1:G1"/>
    <mergeCell ref="C43:G43"/>
    <mergeCell ref="C46:G46"/>
    <mergeCell ref="C51:G51"/>
    <mergeCell ref="A23:E23"/>
    <mergeCell ref="C36:G36"/>
    <mergeCell ref="A14:E14"/>
    <mergeCell ref="C52:G52"/>
    <mergeCell ref="C48:G48"/>
    <mergeCell ref="A4:B4"/>
    <mergeCell ref="C32:G32"/>
    <mergeCell ref="C57:G57"/>
    <mergeCell ref="C53:G53"/>
    <mergeCell ref="E24:E25"/>
  </mergeCells>
  <pageMargins left="0.511811024" right="0.511811024" top="0.787401575" bottom="0.787401575" header="0.31496062" footer="0.31496062"/>
  <pageSetup orientation="portrait" paperSize="9"/>
</worksheet>
</file>

<file path=xl/worksheets/sheet26.xml><?xml version="1.0" encoding="utf-8"?>
<worksheet xmlns="http://schemas.openxmlformats.org/spreadsheetml/2006/main">
  <sheetPr>
    <tabColor rgb="FF00B0F0"/>
    <outlinePr summaryBelow="1" summaryRight="1"/>
    <pageSetUpPr/>
  </sheetPr>
  <dimension ref="A1:I48"/>
  <sheetViews>
    <sheetView topLeftCell="A13" workbookViewId="0">
      <selection activeCell="B17" sqref="B17"/>
    </sheetView>
  </sheetViews>
  <sheetFormatPr baseColWidth="8" defaultColWidth="9.08984375" defaultRowHeight="14.5"/>
  <cols>
    <col width="37.453125" bestFit="1" customWidth="1" style="204" min="1" max="1"/>
    <col width="19.54296875" customWidth="1" style="204" min="2" max="2"/>
    <col width="11" customWidth="1" style="205" min="3" max="3"/>
    <col width="15.6328125" customWidth="1" style="204" min="4" max="4"/>
    <col width="21" customWidth="1" style="204" min="5" max="5"/>
    <col width="9.08984375" customWidth="1" style="131" min="6" max="6"/>
    <col width="19.6328125" bestFit="1" customWidth="1" style="131" min="7" max="7"/>
    <col width="21.54296875" customWidth="1" style="131" min="8" max="8"/>
    <col width="9.08984375" customWidth="1" style="131" min="9" max="9"/>
    <col width="9.08984375" customWidth="1" style="131" min="10" max="16384"/>
  </cols>
  <sheetData>
    <row r="1" ht="33.75" customHeight="1" s="131">
      <c r="A1" s="203" t="inlineStr">
        <is>
          <t>RESUMO DE CONTROLE DIÁRIO</t>
        </is>
      </c>
      <c r="G1" s="201" t="inlineStr">
        <is>
          <t>RESUMO</t>
        </is>
      </c>
      <c r="H1" s="202" t="n"/>
    </row>
    <row r="2" ht="21" customHeight="1" s="131">
      <c r="A2" s="198" t="inlineStr">
        <is>
          <t>DINHEIRO</t>
        </is>
      </c>
      <c r="B2" s="199" t="n"/>
      <c r="G2" s="136" t="inlineStr">
        <is>
          <t>TOTAL FAT. BRUTO</t>
        </is>
      </c>
      <c r="H2" s="232">
        <f>B3+B11</f>
        <v/>
      </c>
    </row>
    <row r="3" ht="24.75" customHeight="1" s="131">
      <c r="A3" s="21" t="inlineStr">
        <is>
          <t>TOTAL EM DINHEIRO:</t>
        </is>
      </c>
      <c r="B3" s="218">
        <f>'1º SEX'!B3+'1ª QUA'!B3+'1ª TER'!B3+'2º SEX'!B3+'2º SEG'!B3+'2º TER'!B3+'3º SEX'!B3+'3º SEG'!B3+'3º TER'!B3+'4º SEX'!B3+'4º SEG'!B3+'4º TER'!B3+'5º SEX'!B3+'5º SEG'!B3+'5º TER'!B3+'1º QUI'!B3+'2º QUI'!B3+'3º QUI'!B3+'4º QUI'!B3+'5º QUI'!B3+'1ª SEG'!B3+'2º QUA'!B3+'3º QUA'!B3+'4º TER'!B3+'5º QUA'!B3</f>
        <v/>
      </c>
      <c r="C3" s="204" t="n"/>
      <c r="F3" s="3" t="n"/>
      <c r="G3" s="121" t="inlineStr">
        <is>
          <t>DINHEIRO</t>
        </is>
      </c>
      <c r="H3" s="210">
        <f>B3</f>
        <v/>
      </c>
    </row>
    <row r="4" ht="24.75" customHeight="1" s="131">
      <c r="A4" s="19" t="n"/>
      <c r="B4" s="233" t="n"/>
      <c r="C4" s="204" t="n"/>
      <c r="F4" s="3" t="n"/>
      <c r="G4" s="122" t="inlineStr">
        <is>
          <t>CARTÃO E PLANOS</t>
        </is>
      </c>
      <c r="H4" s="212">
        <f>E11</f>
        <v/>
      </c>
    </row>
    <row r="5" ht="22.5" customFormat="1" customHeight="1" s="10">
      <c r="A5" s="206" t="inlineStr">
        <is>
          <t>CARTÃO E PLANOS</t>
        </is>
      </c>
      <c r="B5" s="199" t="n"/>
      <c r="C5" s="199" t="n"/>
      <c r="D5" s="199" t="n"/>
      <c r="E5" s="199" t="n"/>
      <c r="G5" s="137" t="inlineStr">
        <is>
          <t>TOTAL FAT. LIQUIDO</t>
        </is>
      </c>
      <c r="H5" s="214">
        <f>H3+H4</f>
        <v/>
      </c>
    </row>
    <row r="6" ht="18.75" customFormat="1" customHeight="1" s="9">
      <c r="A6" s="5" t="inlineStr">
        <is>
          <t>CARTÃO</t>
        </is>
      </c>
      <c r="B6" s="95" t="inlineStr">
        <is>
          <t>VALOR BRUTO</t>
        </is>
      </c>
      <c r="C6" s="95" t="inlineStr">
        <is>
          <t xml:space="preserve">TAXA % </t>
        </is>
      </c>
      <c r="D6" s="96" t="inlineStr">
        <is>
          <t>DESCONTO</t>
        </is>
      </c>
      <c r="E6" s="96" t="inlineStr">
        <is>
          <t>VALOR LIQUIDO</t>
        </is>
      </c>
      <c r="G6" s="82" t="inlineStr">
        <is>
          <t>DESP. ALIMENTAR</t>
        </is>
      </c>
      <c r="H6" s="215">
        <f>B22</f>
        <v/>
      </c>
    </row>
    <row r="7" ht="21" customFormat="1" customHeight="1" s="9">
      <c r="A7" s="56" t="inlineStr">
        <is>
          <t>CARTÃO</t>
        </is>
      </c>
      <c r="B7" s="24">
        <f>'1º SEX'!B16+'1ª QUA'!B16+'1ª TER'!B16+'2º SEX'!B16+'2º SEG'!B16+'2º TER'!B16+'3º SEX'!B16+'3º SEG'!B16+'3º TER'!B16+'4º SEX'!B16+'4º SEG'!B16+'4º TER'!B16+'5º SEX'!B16+'5º SEG'!B16+'5º TER'!B16+'1º QUI'!B16+'2º QUI'!B16+'3º QUI'!B16+'4º QUI'!B16+'5º QUI'!B16+'1ª SEG'!B16+'2º QUA'!B16+'4º QUA'!B16+'5º QUA'!B16+'3º QUA'!B16</f>
        <v/>
      </c>
      <c r="C7" s="91" t="n"/>
      <c r="D7" s="234">
        <f>B7*C7/100</f>
        <v/>
      </c>
      <c r="E7" s="24">
        <f>B7-D7</f>
        <v/>
      </c>
      <c r="G7" s="83" t="inlineStr">
        <is>
          <t>DESP. MÃO DE OBRA</t>
        </is>
      </c>
      <c r="H7" s="216">
        <f>B28</f>
        <v/>
      </c>
    </row>
    <row r="8" ht="21" customFormat="1" customHeight="1" s="9">
      <c r="A8" s="56" t="inlineStr">
        <is>
          <t>PLANOS</t>
        </is>
      </c>
      <c r="B8" s="24">
        <f>'1º SEX'!B17+'1ª QUA'!B17+'1ª TER'!B17+'2º SEX'!B17+'2º SEG'!B17+'2º TER'!B17+'3º SEX'!B17+'3º SEG'!B17+'3º TER'!B17+'4º SEX'!B17+'4º SEG'!B17+'4º TER'!B17+'5º SEX'!B17+'5º SEG'!B17+'5º TER'!B17+'1º QUI'!B17+'2º QUI'!B17+'3º QUI'!B17+'4º QUI'!B17+'5º QUI'!B17+'1ª SEG'!B17+'2º QUA'!B17+'3º QUA'!B17+'4º QUA'!B17+'5º QUA'!B17</f>
        <v/>
      </c>
      <c r="C8" s="91" t="n"/>
      <c r="D8" s="234">
        <f>B8*C8/100</f>
        <v/>
      </c>
      <c r="E8" s="24">
        <f>B8-D8</f>
        <v/>
      </c>
      <c r="G8" s="84" t="inlineStr">
        <is>
          <t>DESP. OPERACIONAIS</t>
        </is>
      </c>
      <c r="H8" s="217">
        <f>B42</f>
        <v/>
      </c>
    </row>
    <row r="9" ht="27" customFormat="1" customHeight="1" s="9">
      <c r="A9" s="23" t="inlineStr">
        <is>
          <t>CRÉDITO 2X</t>
        </is>
      </c>
      <c r="B9" s="24">
        <f>'1º SEX'!B18+'1ª QUA'!B18+'1ª TER'!B18+'2º SEX'!B18+'2º SEG'!B18+'2º TER'!B18+'3º SEX'!B18+'3º SEG'!B18+'3º TER'!B18+'4º SEX'!B18+'4º SEG'!B18+'4º TER'!B18+'5º SEX'!B18+'5º SEG'!B18+'5º TER'!B18+'1º QUI'!B18+'2º QUI'!B18+'3º QUI'!B18+'4º QUI'!B18+'5º QUI'!B18+'1ª SEG'!B18+'2º QUA'!B18+'3º QUA'!B18+'4º QUA'!B18+'5º QUA'!B18</f>
        <v/>
      </c>
      <c r="C9" s="91" t="n"/>
      <c r="D9" s="234">
        <f>B9*C9/100</f>
        <v/>
      </c>
      <c r="E9" s="24">
        <f>'1º SEX'!E18+'1ª QUA'!E18+'1ª TER'!E18+'2º SEX'!E18+'2º SEG'!E18+'2º TER'!E18+'3º SEX'!E18+'3º SEG'!E18+'3º TER'!E18+'4º SEX'!E18+'4º SEG'!E18+'4º TER'!E18+'5º SEX'!E18+'5º SEG'!E18+'5º TER'!E18+'1º QUI'!E18+'2º QUI'!E18+'3º QUI'!E18+'4º QUI'!E18+'5º QUI'!E18</f>
        <v/>
      </c>
      <c r="G9" s="85" t="inlineStr">
        <is>
          <t>PROLABORE</t>
        </is>
      </c>
      <c r="H9" s="219">
        <f>B44</f>
        <v/>
      </c>
    </row>
    <row r="10" ht="22.5" customHeight="1" s="131">
      <c r="A10" s="23" t="inlineStr">
        <is>
          <t>CRÉDITO 3X</t>
        </is>
      </c>
      <c r="B10" s="24">
        <f>'1º QUI'!B19+'1º SEX'!B19+'1ª QUA'!B19+'1ª TER'!B19+'2º QUI'!B19+'2º SEX'!B19+'2º SEG'!B19+'2º TER'!B19+'3º QUI'!B19+'3º SEX'!B19+'3º SEG'!B19+'3º TER'!B19+'4º QUI'!B19+'4º SEX'!B19+'4º SEG'!B19+'4º TER'!B19+'5º QUI'!B19+'5º SEX'!B19+'5º SEG'!B19+'5º TER'!B19+'1ª SEG'!B19+'2º QUA'!B19+'3º QUA'!B19+'4º QUA'!B19+'5º QUA'!B19</f>
        <v/>
      </c>
      <c r="C10" s="91" t="n"/>
      <c r="D10" s="234">
        <f>B10*C10/100</f>
        <v/>
      </c>
      <c r="E10" s="24">
        <f>'1º SEX'!E19+'1ª QUA'!E19+'1ª TER'!E19+'2º SEX'!E19+'2º SEG'!E19+'2º TER'!E19+'3º SEX'!E19+'3º SEG'!E19+'3º TER'!E19+'4º SEX'!E19+'4º SEG'!E19+'4º TER'!E19+'5º SEX'!E19+'5º SEG'!E19+'5º TER'!E19+'1º QUI'!E19+'2º QUI'!E19+'3º QUI'!E19+'4º QUI'!E19+'5º QUI'!E19</f>
        <v/>
      </c>
      <c r="G10" s="86" t="inlineStr">
        <is>
          <t>LUCRO TOTAL:</t>
        </is>
      </c>
      <c r="H10" s="235">
        <f>H5-H6-H7-H8-H9</f>
        <v/>
      </c>
    </row>
    <row r="11" ht="20.25" customHeight="1" s="131">
      <c r="A11" s="22" t="inlineStr">
        <is>
          <t>TOTAL EM CARTÃO</t>
        </is>
      </c>
      <c r="B11" s="18">
        <f>SUM(B7:B10)</f>
        <v/>
      </c>
      <c r="C11" s="17" t="n"/>
      <c r="D11" s="28">
        <f>SUM(D7:D10)</f>
        <v/>
      </c>
      <c r="E11" s="218">
        <f>SUM(E7:E10)</f>
        <v/>
      </c>
    </row>
    <row r="12" ht="20.25" customHeight="1" s="131">
      <c r="A12" s="6" t="n"/>
      <c r="B12" s="7" t="n"/>
      <c r="C12" s="8" t="n"/>
      <c r="D12" s="8" t="n"/>
      <c r="E12" s="236" t="n"/>
      <c r="G12" s="140" t="inlineStr">
        <is>
          <t>DESPESAS TOTAIS</t>
        </is>
      </c>
      <c r="H12" s="237">
        <f>SUM(H6:H8)</f>
        <v/>
      </c>
    </row>
    <row r="13" ht="20.25" customHeight="1" s="131">
      <c r="A13" s="1" t="n"/>
      <c r="B13" s="2" t="n"/>
    </row>
    <row r="14" ht="20.25" customHeight="1" s="131" thickBot="1">
      <c r="A14" s="1" t="n"/>
      <c r="B14" s="2" t="n"/>
    </row>
    <row r="15" ht="20.25" customHeight="1" s="131" thickBot="1">
      <c r="A15" s="200" t="inlineStr">
        <is>
          <t xml:space="preserve">DESPESAS NO DIA </t>
        </is>
      </c>
      <c r="B15" s="178" t="n"/>
      <c r="C15" s="31" t="inlineStr">
        <is>
          <t>%</t>
        </is>
      </c>
      <c r="D15" s="32" t="inlineStr">
        <is>
          <t>Percentual em cima do Faturamento Bruto</t>
        </is>
      </c>
      <c r="E15" s="32" t="n"/>
    </row>
    <row r="16" ht="20.25" customHeight="1" s="131">
      <c r="A16" s="13" t="inlineStr">
        <is>
          <t>CUSTO ALIMENTAR</t>
        </is>
      </c>
      <c r="B16" s="14" t="n"/>
    </row>
    <row r="17" ht="20.25" customHeight="1" s="131">
      <c r="A17" s="141" t="inlineStr">
        <is>
          <t>GENEROS ALIMENTICIOS</t>
        </is>
      </c>
      <c r="B17" s="15">
        <f>'1º SEX'!B32+'1ª QUA'!B32+'1ª TER'!B32+'2º SEX'!B32+'2º SEG'!B32+'2º TER'!B32+'3º SEX'!B32+'3º SEG'!B32+'3º TER'!B32+'4º SEX'!B32+'4º SEG'!B32+'4º TER'!B32+'5º SEX'!B32+'5º SEG'!B32+'5º TER'!B32+'1º QUI'!B32+'2º QUI'!B32+'3º QUI'!B32+'4º QUI'!B32+'5º QUI'!B32+'1ª SEG'!B32+'2º QUA'!B32+'3º QUA'!B32+'4º QUA'!B32+'5º QUA'!B32</f>
        <v/>
      </c>
    </row>
    <row r="18" ht="20.25" customHeight="1" s="131">
      <c r="A18" s="141" t="inlineStr">
        <is>
          <t>GENEROS DESCARTAVEIS</t>
        </is>
      </c>
      <c r="B18" s="15">
        <f>'1º SEX'!B33+'1ª QUA'!B33+'1ª TER'!B33+'2º SEX'!B33+'2º SEG'!B33+'2º TER'!B33+'3º SEX'!B33+'3º SEG'!B33+'3º TER'!B33+'4º SEX'!B33+'4º SEG'!B33+'4º TER'!B33+'5º SEX'!B33+'5º SEG'!B33+'5º TER'!B33+'1º QUI'!B33+'2º QUI'!B33+'3º QUI'!B33+'4º QUI'!B33+'5º QUI'!B33+'1ª SEG'!B33+'2º QUA'!B33+'3º QUA'!B33+'4º QUA'!B33+'5º QUA'!B33</f>
        <v/>
      </c>
      <c r="G18" s="138" t="n"/>
      <c r="H18" s="139" t="n"/>
    </row>
    <row r="19">
      <c r="A19" s="141" t="inlineStr">
        <is>
          <t>GENEROS DE LIMPEZA</t>
        </is>
      </c>
      <c r="B19" s="15">
        <f>'1º SEX'!B34+'1ª QUA'!B34+'1ª TER'!B34+'2º SEX'!B34+'2º SEG'!B34+'2º TER'!B34+'3º SEX'!B34+'3º SEG'!B34+'3º TER'!B34+'4º SEX'!B34+'4º SEG'!B34+'4º TER'!B34+'5º SEX'!B34+'5º SEG'!B34+'5º TER'!B34+'1º QUI'!B34+'2º QUI'!B34+'3º QUI'!B34+'4º QUI'!B34+'5º QUI'!B34+'1ª SEG'!B34+'2º QUA'!B34+'3º QUA'!B34+'4º QUA'!B34+'5º QUA'!B34</f>
        <v/>
      </c>
    </row>
    <row r="20" ht="18" customHeight="1" s="131">
      <c r="A20" s="141" t="inlineStr">
        <is>
          <t xml:space="preserve"> FRETES E CARRETOS</t>
        </is>
      </c>
      <c r="B20" s="15">
        <f>'1º SEX'!B35+'1ª QUA'!B35+'1ª TER'!B35+'2º SEX'!B35+'2º SEG'!B35+'2º TER'!B35+'3º SEX'!B35+'3º SEG'!B35+'3º TER'!B35+'4º SEX'!B35+'4º SEG'!B35+'4º TER'!B35+'5º SEX'!B35+'5º SEG'!B35+'5º TER'!B35+'1º QUI'!B35+'2º QUI'!B35+'3º QUI'!B35+'4º QUI'!B35+'5º QUI'!B35+'1ª SEG'!B35+'2º QUA'!B35+'3º QUA'!B35+'4º QUA'!B35+'5º QUA'!B35</f>
        <v/>
      </c>
      <c r="F20" s="9" t="n"/>
    </row>
    <row r="21">
      <c r="A21" s="141" t="inlineStr">
        <is>
          <t>HIGIENIZACAO - TIA DA LIMPEZA</t>
        </is>
      </c>
      <c r="B21" s="15">
        <f>'1º SEX'!B36+'1ª QUA'!B36+'1ª TER'!B36+'2º SEX'!B36+'2º SEG'!B36+'2º TER'!B36+'3º SEX'!B36+'3º SEG'!B36+'3º TER'!B36+'4º SEX'!B36+'4º SEG'!B36+'4º TER'!B36+'5º SEX'!B36+'5º SEG'!B36+'5º TER'!B36+'1º QUI'!B36+'2º QUI'!B36+'3º QUI'!B36+'4º QUI'!B36+'5º QUI'!B36+'1ª SEG'!B36+'2º QUA'!B36+'3º QUA'!B36+'4º QUA'!B36+'5º QUA'!B36</f>
        <v/>
      </c>
      <c r="G21" s="9" t="n"/>
      <c r="H21" s="9" t="n"/>
    </row>
    <row r="22" ht="15" customHeight="1" s="131" thickBot="1">
      <c r="A22" s="25" t="inlineStr">
        <is>
          <t>TOTAL - CUSTO ALIMENTAR</t>
        </is>
      </c>
      <c r="B22" s="26">
        <f>SUM(B17:B21)</f>
        <v/>
      </c>
      <c r="C22" s="29">
        <f>(B22/H2)</f>
        <v/>
      </c>
      <c r="D22" s="9" t="n"/>
      <c r="E22" s="9" t="n"/>
    </row>
    <row r="23" ht="15" customHeight="1" s="131" thickBot="1">
      <c r="A23" s="127" t="n"/>
      <c r="B23" s="127" t="n"/>
      <c r="C23" s="30" t="n"/>
    </row>
    <row r="24" ht="15" customHeight="1" s="131" thickBot="1">
      <c r="A24" s="12" t="inlineStr">
        <is>
          <t>MÃO DE OBRA</t>
        </is>
      </c>
      <c r="B24" s="16" t="n"/>
      <c r="C24" s="30" t="n"/>
    </row>
    <row r="25" ht="15" customHeight="1" s="131">
      <c r="A25" s="142" t="inlineStr">
        <is>
          <t>SALARIO DOS FUNCIONÁRIOS</t>
        </is>
      </c>
      <c r="B25" s="15">
        <f>'1º SEX'!B40+'1ª QUA'!B40+'1ª TER'!B40+'2º SEX'!B40+'2º SEG'!B40+'2º TER'!B40+'3º SEX'!B40+'3º SEG'!B40+'3º TER'!B40+'4º SEX'!B40+'4º SEG'!B40+'4º TER'!B40+'5º SEX'!B40+'5º SEG'!B40+'5º TER'!B40+'1º QUI'!B40+'2º QUI'!B40+'3º QUI'!B40+'4º QUI'!B40+'5º QUI'!B40+'1ª SEG'!B40+'2º QUA'!B40+'3º QUA'!B40+'4º QUA'!B40+'5º QUA'!B40</f>
        <v/>
      </c>
      <c r="C25" s="30" t="n"/>
      <c r="I25" s="238" t="n"/>
    </row>
    <row r="26" ht="21" customFormat="1" customHeight="1" s="9">
      <c r="A26" s="141" t="inlineStr">
        <is>
          <t>ALIMENTACAO</t>
        </is>
      </c>
      <c r="B26" s="15">
        <f>'1º SEX'!B41+'1ª QUA'!B41+'1ª TER'!B41+'2º SEX'!B41+'2º SEG'!B41+'2º TER'!B41+'3º SEX'!B41+'3º SEG'!B41+'3º TER'!B41+'4º SEX'!B41+'4º SEG'!B41+'4º TER'!B41+'5º SEX'!B41+'5º SEG'!B41+'5º TER'!B41+'1º QUI'!B41+'2º QUI'!B41+'3º QUI'!B41+'4º QUI'!B41+'5º QUI'!B41+'1ª SEG'!B41+'2º QUA'!B41+'3º QUA'!B41+'4º QUA'!B41+'5º QUA'!B41</f>
        <v/>
      </c>
      <c r="C26" s="30" t="n"/>
    </row>
    <row r="27">
      <c r="A27" s="141" t="inlineStr">
        <is>
          <t>VALE TRANSPORTE</t>
        </is>
      </c>
      <c r="B27" s="15">
        <f>'1º SEX'!B42+'1ª QUA'!B42+'1ª TER'!B42+'2º SEX'!B42+'2º SEG'!B42+'2º TER'!B42+'3º SEX'!B42+'3º SEG'!B42+'3º TER'!B42+'4º SEX'!B42+'4º SEG'!B42+'4º TER'!B42+'5º SEX'!B42+'5º SEG'!B42+'5º TER'!B42+'1º QUI'!B42+'2º QUI'!B42+'3º QUI'!B42+'4º QUI'!B42+'5º QUI'!B42+'1ª SEG'!B42+'2º QUA'!B42+'3º QUA'!B42+'4º QUA'!B42+'5º QUA'!B42</f>
        <v/>
      </c>
      <c r="C27" s="30" t="n"/>
      <c r="G27" s="9" t="n"/>
      <c r="H27" s="9" t="n"/>
    </row>
    <row r="28" ht="15" customHeight="1" s="131" thickBot="1">
      <c r="A28" s="25" t="inlineStr">
        <is>
          <t>TOTAL - MÃO DE OBRA</t>
        </is>
      </c>
      <c r="B28" s="26">
        <f>SUM(B25:B27)</f>
        <v/>
      </c>
      <c r="C28" s="29">
        <f>(B28/H2)</f>
        <v/>
      </c>
      <c r="D28" s="9" t="n"/>
      <c r="E28" s="9" t="n"/>
    </row>
    <row r="29" ht="15" customHeight="1" s="131" thickBot="1">
      <c r="A29" s="127" t="n"/>
      <c r="B29" s="127" t="n"/>
      <c r="C29" s="30" t="n"/>
    </row>
    <row r="30" ht="15" customHeight="1" s="131" thickBot="1">
      <c r="A30" s="12" t="inlineStr">
        <is>
          <t>DESPESAS OPERACIONAIS</t>
        </is>
      </c>
      <c r="B30" s="16" t="n"/>
      <c r="C30" s="30" t="n"/>
    </row>
    <row r="31">
      <c r="A31" s="142" t="inlineStr">
        <is>
          <t>ÁGUA</t>
        </is>
      </c>
      <c r="B31" s="15">
        <f>'1º SEX'!B46+'1ª QUA'!B46+'1ª TER'!B46+'2º SEX'!B46+'2º SEG'!B46+'2º TER'!B46+'3º SEX'!B46+'3º SEG'!B46+'3º TER'!B46+'4º SEX'!B46+'4º SEG'!B46+'4º TER'!B46+'5º SEX'!B46+'5º SEG'!B46+'5º TER'!B46+'1º QUI'!B46+'2º QUI'!B46+'3º QUI'!B46+'4º QUI'!B46+'5º QUI'!B46+'1ª SEG'!B46+'2º QUA'!B46+'3º QUA'!B46+'4º QUA'!B46+'5º QUA'!B46</f>
        <v/>
      </c>
      <c r="C31" s="30" t="n"/>
    </row>
    <row r="32" ht="21" customFormat="1" customHeight="1" s="9">
      <c r="A32" s="141" t="inlineStr">
        <is>
          <t>LUZ (ENERGIA)</t>
        </is>
      </c>
      <c r="B32" s="15">
        <f>'1º SEX'!B47+'1ª QUA'!B47+'1ª TER'!B47+'2º SEX'!B47+'2º SEG'!B47+'2º TER'!B47+'3º SEX'!B47+'3º SEG'!B47+'3º TER'!B47+'4º SEX'!B47+'4º SEG'!B47+'4º TER'!B47+'5º SEX'!B47+'5º SEG'!B47+'5º TER'!B47+'1º QUI'!B47+'2º QUI'!B47+'3º QUI'!B47+'4º QUI'!B47+'5º QUI'!B47+'1ª SEG'!B47+'2º QUA'!B47+'3º QUA'!B47+'4º QUA'!B47+'5º QUA'!B47</f>
        <v/>
      </c>
      <c r="C32" s="30" t="n"/>
    </row>
    <row r="33">
      <c r="A33" s="141" t="inlineStr">
        <is>
          <t>MANUTENCOES E REPAROS</t>
        </is>
      </c>
      <c r="B33" s="15">
        <f>'1º SEX'!B49+'1ª QUA'!B49+'1ª TER'!B49+'2º SEX'!B49+'2º SEG'!B49+'2º TER'!B49+'3º SEX'!B49+'3º SEG'!B49+'3º TER'!B49+'4º SEX'!B49+'4º SEG'!B49+'4º TER'!B49+'5º SEX'!B49+'5º SEG'!B49+'5º TER'!B49+'1º QUI'!B49+'2º QUI'!B49+'3º QUI'!B49+'4º QUI'!B49+'5º QUI'!B49+'1ª SEG'!B49+'2º QUA'!B49+'3º QUA'!B49+'4º QUA'!B49+'5º QUA'!B49</f>
        <v/>
      </c>
      <c r="C33" s="30" t="n"/>
    </row>
    <row r="34">
      <c r="A34" s="141" t="inlineStr">
        <is>
          <t xml:space="preserve">INTERNET </t>
        </is>
      </c>
      <c r="B34" s="15">
        <f>'1º SEX'!B50+'1ª QUA'!B50+'1ª TER'!B50+'2º SEX'!B50+'2º SEG'!B50+'2º TER'!B50+'3º SEX'!B50+'3º SEG'!B50+'3º TER'!B50+'4º SEX'!B50+'4º SEG'!B50+'4º TER'!B50+'5º SEX'!B50+'5º SEG'!B50+'5º TER'!B50+'1º QUI'!B50+'2º QUI'!B50+'3º QUI'!B50+'4º QUI'!B50+'5º QUI'!B50+'1ª SEG'!B50+'2º QUA'!B50+'3º QUA'!B50+'4º QUA'!B50+'5º QUA'!B50</f>
        <v/>
      </c>
      <c r="C34" s="30" t="n"/>
    </row>
    <row r="35">
      <c r="A35" s="141" t="inlineStr">
        <is>
          <t>TELEFONE / FAX</t>
        </is>
      </c>
      <c r="B35" s="15">
        <f>'1º SEX'!B51+'1ª QUA'!B51+'1ª TER'!B51+'2º SEX'!B51+'2º SEG'!B51+'2º TER'!B51+'3º SEX'!B51+'3º SEG'!B51+'3º TER'!B51+'4º SEX'!B51+'4º SEG'!B51+'4º TER'!B51+'5º SEX'!B51+'5º SEG'!B51+'5º TER'!B51+'1º QUI'!B51+'2º QUI'!B51+'3º QUI'!B51+'4º QUI'!B51+'5º QUI'!B51+'1ª SEG'!B51+'2º QUA'!B51+'3º QUA'!B51+'4º QUA'!B51+'5º QUA'!B51</f>
        <v/>
      </c>
      <c r="C35" s="30" t="n"/>
    </row>
    <row r="36">
      <c r="A36" s="141" t="inlineStr">
        <is>
          <t>UNIFORMES</t>
        </is>
      </c>
      <c r="B36" s="15">
        <f>'1º SEX'!B52+'1ª QUA'!B52+'1ª TER'!B52+'2º SEX'!B52+'2º SEG'!B52+'2º TER'!B52+'3º SEX'!B52+'3º SEG'!B52+'3º TER'!B52+'4º SEX'!B52+'4º SEG'!B52+'4º TER'!B52+'5º SEX'!B52+'5º SEG'!B52+'5º TER'!B52+'1º QUI'!B52+'2º QUI'!B52+'3º QUI'!B52+'4º QUI'!B52+'5º QUI'!B52+'1ª SEG'!B52+'2º QUA'!B52+'3º QUA'!B52+'4º QUA'!B52+'5º QUA'!B52</f>
        <v/>
      </c>
      <c r="C36" s="30" t="n"/>
    </row>
    <row r="37">
      <c r="A37" s="141" t="inlineStr">
        <is>
          <t>UTENSILIOS</t>
        </is>
      </c>
      <c r="B37" s="15">
        <f>'1º SEX'!B53+'1ª QUA'!B53+'1ª TER'!B53+'2º SEX'!B53+'2º SEG'!B53+'2º TER'!B53+'3º SEX'!B53+'3º SEG'!B53+'3º TER'!B53+'4º SEX'!B53+'4º SEG'!B53+'4º TER'!B53+'5º SEX'!B53+'5º SEG'!B53+'5º TER'!B53+'1º QUI'!B53+'2º QUI'!B53+'3º QUI'!B53+'4º QUI'!B53+'5º QUI'!B53+'1ª SEG'!B53+'2º QUA'!B53+'3º QUA'!B53+'4º QUA'!B53+'5º QUA'!B53</f>
        <v/>
      </c>
      <c r="C37" s="30" t="n"/>
    </row>
    <row r="38">
      <c r="A38" s="141" t="inlineStr">
        <is>
          <t>EPI - PROTECAO INDIVIDUAL</t>
        </is>
      </c>
      <c r="B38" s="15">
        <f>'1º SEX'!B54+'1ª QUA'!B54+'1ª TER'!B54+'2º SEX'!B54+'2º SEG'!B54+'2º TER'!B54+'3º SEX'!B54+'3º SEG'!B54+'3º TER'!B54+'4º SEX'!B54+'4º SEG'!B54+'4º TER'!B54+'5º SEX'!B54+'5º SEG'!B54+'5º TER'!B54+'1º QUI'!B54+'2º QUI'!B54+'3º QUI'!B54+'4º QUI'!B54+'5º QUI'!B54+'1ª SEG'!B54+'2º QUA'!B54+'3º QUA'!B54+'4º QUA'!B54+'5º QUA'!B54</f>
        <v/>
      </c>
      <c r="C38" s="30" t="n"/>
    </row>
    <row r="39">
      <c r="A39" s="141" t="inlineStr">
        <is>
          <t>OUTROS CUSTOS GERAIS</t>
        </is>
      </c>
      <c r="B39" s="15">
        <f>'1º SEX'!B55+'1ª QUA'!B55+'1ª TER'!B55+'2º SEX'!B55+'2º SEG'!B55+'2º TER'!B55+'3º SEX'!B55+'3º SEG'!B55+'3º TER'!B55+'4º SEX'!B55+'4º SEG'!B55+'4º TER'!B55+'5º SEX'!B55+'5º SEG'!B55+'5º TER'!B55+'1º QUI'!B55+'2º QUI'!B55+'3º QUI'!B55+'4º QUI'!B55+'5º QUI'!B55+'1ª SEG'!B55+'2º QUA'!B55+'3º QUA'!B55+'4º QUA'!B55+'5º QUA'!B55</f>
        <v/>
      </c>
      <c r="C39" s="30" t="n"/>
    </row>
    <row r="40">
      <c r="A40" s="141" t="inlineStr">
        <is>
          <t>REEMBOLSO DE LOCOMOCAO</t>
        </is>
      </c>
      <c r="B40" s="15">
        <f>'1º SEX'!B56+'1ª QUA'!B56+'1ª TER'!B56+'2º SEX'!B56+'2º SEG'!B56+'2º TER'!B56+'3º SEX'!B56+'3º SEG'!B56+'3º TER'!B56+'4º SEX'!B56+'4º SEG'!B56+'4º TER'!B56+'5º SEX'!B56+'5º SEG'!B56+'5º TER'!B56+'1º QUI'!B56+'2º QUI'!B56+'3º QUI'!B56+'4º QUI'!B56+'5º QUI'!B56+'1ª SEG'!B56+'2º QUA'!B56+'3º QUA'!B56+'4º QUA'!B56+'5º QUA'!B56</f>
        <v/>
      </c>
      <c r="C40" s="30" t="n"/>
      <c r="F40" s="9" t="n"/>
    </row>
    <row r="41">
      <c r="A41" s="141" t="inlineStr">
        <is>
          <t>COPIAS E IMPRESSOES</t>
        </is>
      </c>
      <c r="B41" s="15">
        <f>'1º SEX'!B57+'1ª QUA'!B57+'1ª TER'!B57+'2º SEX'!B57+'2º SEG'!B57+'2º TER'!B57+'3º SEX'!B57+'3º SEG'!B57+'3º TER'!B57+'4º SEX'!B57+'4º SEG'!B57+'4º TER'!B57+'5º SEX'!B57+'5º SEG'!B57+'5º TER'!B57+'1º QUI'!B57+'2º QUI'!B57+'3º QUI'!B57+'4º QUI'!B57+'5º QUI'!B57+'1ª SEG'!B57+'2º QUA'!B57+'3º QUA'!B57+'4º QUA'!B57+'5º QUA'!B57</f>
        <v/>
      </c>
      <c r="C41" s="30" t="n"/>
      <c r="G41" s="9" t="n"/>
      <c r="H41" s="9" t="n"/>
    </row>
    <row r="42" ht="15" customHeight="1" s="131" thickBot="1">
      <c r="A42" s="25" t="inlineStr">
        <is>
          <t>TOTAL - DESPESAS OPERACIONAIS</t>
        </is>
      </c>
      <c r="B42" s="26">
        <f>SUM(B31:B41)</f>
        <v/>
      </c>
      <c r="C42" s="29">
        <f>(B42/H2)</f>
        <v/>
      </c>
      <c r="D42" s="9" t="n"/>
      <c r="E42" s="9" t="n"/>
      <c r="F42" s="9" t="n"/>
    </row>
    <row r="43">
      <c r="A43" s="11" t="n"/>
      <c r="B43" s="11" t="n"/>
      <c r="G43" s="9" t="n"/>
      <c r="H43" s="9" t="n"/>
    </row>
    <row r="44">
      <c r="A44" s="27" t="inlineStr">
        <is>
          <t>PROLABORE</t>
        </is>
      </c>
      <c r="B44" s="33">
        <f>'1º SEX'!B60+'1ª QUA'!B60+'1ª TER'!B60+'2º SEX'!B60+'2º SEG'!B60+'2º TER'!B60+'3º SEX'!B60+'3º SEG'!B60+'3º TER'!B60+'4º SEX'!B60+'4º SEG'!B60+'4º TER'!B60+'5º SEX'!B60+'5º SEG'!B60+'5º TER'!B60+'1º QUI'!B60+'2º QUI'!B60+'3º QUI'!B60+'4º QUI'!B60+'5º QUI'!B60+'1ª SEG'!B60+'2º QUA'!B60+'3º QUA'!B60+'4º QUA'!B60+'5º QUA'!B60</f>
        <v/>
      </c>
      <c r="C44" s="29">
        <f>(B44/H2)</f>
        <v/>
      </c>
      <c r="D44" s="9" t="n"/>
      <c r="E44" s="9" t="n"/>
    </row>
    <row r="46" ht="21" customFormat="1" customHeight="1" s="9">
      <c r="A46" s="34" t="inlineStr">
        <is>
          <t>LUCRO TOTAL</t>
        </is>
      </c>
      <c r="B46" s="35">
        <f>H5-B22-B28-B42-B44</f>
        <v/>
      </c>
      <c r="C46" s="36">
        <f>(B46/H2)</f>
        <v/>
      </c>
      <c r="D46" s="204" t="n"/>
      <c r="E46" s="204" t="n"/>
    </row>
    <row r="48" ht="21" customFormat="1" customHeight="1" s="9">
      <c r="A48" s="204" t="n"/>
      <c r="B48" s="204" t="n"/>
      <c r="C48" s="205" t="n"/>
      <c r="D48" s="204" t="n"/>
      <c r="E48" s="204" t="n"/>
    </row>
    <row r="50" ht="24.75" customHeight="1" s="131"/>
  </sheetData>
  <mergeCells count="5">
    <mergeCell ref="A2:B2"/>
    <mergeCell ref="A15:B15"/>
    <mergeCell ref="G1:H1"/>
    <mergeCell ref="A1:E1"/>
    <mergeCell ref="A5:E5"/>
  </mergeCells>
  <pageMargins left="0.511811024" right="0.511811024" top="0.787401575" bottom="0.787401575" header="0.31496062" footer="0.31496062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239" t="inlineStr">
        <is>
          <t>ALIMENTICIOS</t>
        </is>
      </c>
      <c r="B1" s="239" t="inlineStr">
        <is>
          <t>DESCARTAVEIS</t>
        </is>
      </c>
      <c r="C1" s="239" t="inlineStr">
        <is>
          <t>LIMPEZA</t>
        </is>
      </c>
      <c r="D1" s="239" t="inlineStr">
        <is>
          <t xml:space="preserve"> FRETES</t>
        </is>
      </c>
      <c r="E1" s="239" t="inlineStr">
        <is>
          <t>FAXINEIRA</t>
        </is>
      </c>
      <c r="F1" s="239" t="inlineStr">
        <is>
          <t>SALARIOS</t>
        </is>
      </c>
      <c r="G1" s="239" t="inlineStr">
        <is>
          <t>ALIMENT. PESSOAL</t>
        </is>
      </c>
      <c r="H1" s="239" t="inlineStr">
        <is>
          <t>VALE TRANSPORTE</t>
        </is>
      </c>
      <c r="I1" s="239" t="inlineStr">
        <is>
          <t>AGUA</t>
        </is>
      </c>
      <c r="J1" s="239" t="inlineStr">
        <is>
          <t>LUZ</t>
        </is>
      </c>
      <c r="K1" s="239" t="inlineStr">
        <is>
          <t>MANUTENCOES</t>
        </is>
      </c>
      <c r="L1" s="239" t="inlineStr">
        <is>
          <t xml:space="preserve">INTERNET </t>
        </is>
      </c>
      <c r="M1" s="239" t="inlineStr">
        <is>
          <t>TELEFONE</t>
        </is>
      </c>
      <c r="N1" s="239" t="inlineStr">
        <is>
          <t>UNIFORMES</t>
        </is>
      </c>
      <c r="O1" s="239" t="inlineStr">
        <is>
          <t>UTENSILIOS</t>
        </is>
      </c>
      <c r="P1" s="239" t="inlineStr">
        <is>
          <t>EPI</t>
        </is>
      </c>
      <c r="Q1" s="239" t="inlineStr">
        <is>
          <t>OUTROS CUSTOS GERAIS</t>
        </is>
      </c>
      <c r="R1" s="239" t="inlineStr">
        <is>
          <t>REEMBOLSO DE LOC.</t>
        </is>
      </c>
      <c r="S1" s="239" t="inlineStr">
        <is>
          <t>IMPRESSOES</t>
        </is>
      </c>
      <c r="T1" s="239" t="inlineStr">
        <is>
          <t>PROLABORE</t>
        </is>
      </c>
      <c r="U1" s="239" t="inlineStr">
        <is>
          <t>MES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180</v>
      </c>
      <c r="F2" t="n">
        <v>962.36</v>
      </c>
      <c r="G2" t="n">
        <v>0</v>
      </c>
      <c r="H2" t="n">
        <v>277.2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8350.35</v>
      </c>
      <c r="R2" t="n">
        <v>0</v>
      </c>
      <c r="S2" t="n">
        <v>0</v>
      </c>
      <c r="T2" t="n">
        <v>0</v>
      </c>
      <c r="U2" t="inlineStr">
        <is>
          <t>Janeiro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39" t="inlineStr">
        <is>
          <t>FATURAMENTO</t>
        </is>
      </c>
      <c r="B1" s="239" t="inlineStr">
        <is>
          <t>DINHEIRO</t>
        </is>
      </c>
      <c r="C1" s="239" t="inlineStr">
        <is>
          <t>CARTAO E PLANOS</t>
        </is>
      </c>
      <c r="D1" s="239" t="inlineStr">
        <is>
          <t>MES</t>
        </is>
      </c>
    </row>
    <row r="2">
      <c r="A2" t="n">
        <v>9471.870000000001</v>
      </c>
      <c r="B2" t="n">
        <v>3540</v>
      </c>
      <c r="C2" t="n">
        <v>5931.870000000001</v>
      </c>
      <c r="D2" t="inlineStr">
        <is>
          <t>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Sapore</dc:creator>
  <dcterms:created xmlns:dcterms="http://purl.org/dc/terms/" xmlns:xsi="http://www.w3.org/2001/XMLSchema-instance" xsi:type="dcterms:W3CDTF">2018-11-01T17:50:30Z</dcterms:created>
  <dcterms:modified xmlns:dcterms="http://purl.org/dc/terms/" xmlns:xsi="http://www.w3.org/2001/XMLSchema-instance" xsi:type="dcterms:W3CDTF">2025-11-07T01:22:58Z</dcterms:modified>
  <cp:lastModifiedBy>Leonardo Cerqueira</cp:lastModifiedBy>
</cp:coreProperties>
</file>