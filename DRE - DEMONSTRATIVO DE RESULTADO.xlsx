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xmlns:r="http://schemas.openxmlformats.org/officeDocument/2006/relationships" name="DEMONSTRATIVO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DRE DESPESAS" sheetId="3" state="visible" r:id="rId3"/>
    <sheet xmlns:r="http://schemas.openxmlformats.org/officeDocument/2006/relationships" name="DRE RECEIT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19">
    <font>
      <name val="Calibri"/>
      <family val="2"/>
      <color theme="1"/>
      <sz val="11"/>
    </font>
    <font>
      <name val="Calibri"/>
      <family val="2"/>
      <color theme="0"/>
      <sz val="11"/>
    </font>
    <font>
      <name val="Arial"/>
      <family val="2"/>
      <b val="1"/>
      <color rgb="FF000000"/>
      <sz val="11"/>
    </font>
    <font>
      <name val="Arial"/>
      <family val="2"/>
      <b val="1"/>
      <color theme="0"/>
      <sz val="11"/>
    </font>
    <font>
      <name val="Arial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theme="0"/>
      <sz val="10"/>
    </font>
    <font>
      <name val="Arial"/>
      <family val="2"/>
      <color rgb="FF000000"/>
      <sz val="10"/>
    </font>
    <font>
      <name val="Calibri"/>
      <family val="2"/>
      <b val="1"/>
      <color theme="1"/>
      <sz val="12"/>
    </font>
    <font>
      <name val="Calibri"/>
      <family val="2"/>
      <color theme="1"/>
      <sz val="12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4"/>
    </font>
    <font>
      <name val="Calibri"/>
      <family val="2"/>
      <b val="1"/>
      <color theme="0"/>
      <sz val="14"/>
    </font>
    <font>
      <name val="Arial"/>
      <family val="2"/>
      <b val="1"/>
      <color theme="0"/>
      <sz val="12"/>
    </font>
    <font>
      <name val="Arial"/>
      <family val="2"/>
      <b val="1"/>
      <color rgb="FFFFFF00"/>
      <sz val="12"/>
    </font>
    <font>
      <name val="Calibri"/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11" fillId="0" borderId="0"/>
    <xf numFmtId="44" fontId="11" fillId="0" borderId="0"/>
    <xf numFmtId="0" fontId="11" fillId="0" borderId="0"/>
  </cellStyleXfs>
  <cellXfs count="44">
    <xf numFmtId="0" fontId="0" fillId="0" borderId="0" pivotButton="0" quotePrefix="0" xfId="0"/>
    <xf numFmtId="2" fontId="1" fillId="3" borderId="0" pivotButton="0" quotePrefix="0" xfId="0"/>
    <xf numFmtId="2" fontId="1" fillId="4" borderId="0" pivotButton="0" quotePrefix="0" xfId="0"/>
    <xf numFmtId="2" fontId="1" fillId="2" borderId="0" applyAlignment="1" pivotButton="0" quotePrefix="0" xfId="0">
      <alignment vertical="center"/>
    </xf>
    <xf numFmtId="4" fontId="2" fillId="0" borderId="1" applyAlignment="1" pivotButton="0" quotePrefix="0" xfId="0">
      <alignment horizontal="center"/>
    </xf>
    <xf numFmtId="2" fontId="2" fillId="0" borderId="1" pivotButton="0" quotePrefix="0" xfId="0"/>
    <xf numFmtId="4" fontId="2" fillId="0" borderId="1" pivotButton="0" quotePrefix="0" xfId="0"/>
    <xf numFmtId="2" fontId="3" fillId="5" borderId="0" applyAlignment="1" pivotButton="0" quotePrefix="0" xfId="0">
      <alignment vertical="center"/>
    </xf>
    <xf numFmtId="4" fontId="3" fillId="5" borderId="0" applyAlignment="1" pivotButton="0" quotePrefix="0" xfId="0">
      <alignment vertical="center"/>
    </xf>
    <xf numFmtId="2" fontId="4" fillId="0" borderId="1" pivotButton="0" quotePrefix="0" xfId="0"/>
    <xf numFmtId="4" fontId="3" fillId="2" borderId="0" applyAlignment="1" pivotButton="0" quotePrefix="0" xfId="0">
      <alignment vertical="center"/>
    </xf>
    <xf numFmtId="4" fontId="3" fillId="3" borderId="0" pivotButton="0" quotePrefix="0" xfId="0"/>
    <xf numFmtId="4" fontId="3" fillId="4" borderId="0" pivotButton="0" quotePrefix="0" xfId="0"/>
    <xf numFmtId="2" fontId="0" fillId="0" borderId="1" pivotButton="0" quotePrefix="0" xfId="0"/>
    <xf numFmtId="0" fontId="6" fillId="0" borderId="0" pivotButton="0" quotePrefix="0" xfId="0"/>
    <xf numFmtId="0" fontId="5" fillId="0" borderId="1" pivotButton="0" quotePrefix="0" xfId="0"/>
    <xf numFmtId="0" fontId="7" fillId="5" borderId="0" applyAlignment="1" pivotButton="0" quotePrefix="0" xfId="0">
      <alignment vertical="center"/>
    </xf>
    <xf numFmtId="0" fontId="8" fillId="0" borderId="1" pivotButton="0" quotePrefix="0" xfId="0"/>
    <xf numFmtId="0" fontId="7" fillId="2" borderId="0" applyAlignment="1" pivotButton="0" quotePrefix="0" xfId="0">
      <alignment vertical="center"/>
    </xf>
    <xf numFmtId="0" fontId="7" fillId="3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7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1" pivotButton="0" quotePrefix="0" xfId="0"/>
    <xf numFmtId="0" fontId="12" fillId="0" borderId="1" pivotButton="0" quotePrefix="0" xfId="0"/>
    <xf numFmtId="17" fontId="2" fillId="0" borderId="1" applyAlignment="1" pivotButton="0" quotePrefix="0" xfId="0">
      <alignment horizontal="center"/>
    </xf>
    <xf numFmtId="2" fontId="16" fillId="2" borderId="1" pivotButton="0" quotePrefix="0" xfId="0"/>
    <xf numFmtId="2" fontId="16" fillId="2" borderId="2" pivotButton="0" quotePrefix="0" xfId="0"/>
    <xf numFmtId="2" fontId="16" fillId="2" borderId="3" pivotButton="0" quotePrefix="0" xfId="0"/>
    <xf numFmtId="0" fontId="0" fillId="0" borderId="0" pivotButton="0" quotePrefix="0" xfId="0"/>
    <xf numFmtId="4" fontId="0" fillId="0" borderId="0" pivotButton="0" quotePrefix="0" xfId="0"/>
    <xf numFmtId="164" fontId="14" fillId="2" borderId="0" pivotButton="0" quotePrefix="0" xfId="1"/>
    <xf numFmtId="0" fontId="17" fillId="0" borderId="4" applyAlignment="1" pivotButton="0" quotePrefix="0" xfId="0">
      <alignment horizontal="center" vertical="top"/>
    </xf>
    <xf numFmtId="0" fontId="15" fillId="6" borderId="0" applyAlignment="1" pivotButton="0" quotePrefix="0" xfId="0">
      <alignment horizontal="center"/>
    </xf>
    <xf numFmtId="0" fontId="0" fillId="0" borderId="0" pivotButton="0" quotePrefix="0" xfId="0"/>
    <xf numFmtId="4" fontId="0" fillId="0" borderId="0" pivotButton="0" quotePrefix="0" xfId="0"/>
    <xf numFmtId="0" fontId="13" fillId="2" borderId="0" applyAlignment="1" pivotButton="0" quotePrefix="0" xfId="0">
      <alignment horizontal="center"/>
    </xf>
    <xf numFmtId="164" fontId="14" fillId="2" borderId="0" pivotButton="0" quotePrefix="0" xfId="1"/>
    <xf numFmtId="0" fontId="18" fillId="0" borderId="5" applyAlignment="1" pivotButton="0" quotePrefix="0" xfId="0">
      <alignment horizontal="center" vertical="top"/>
    </xf>
  </cellXfs>
  <cellStyles count="3">
    <cellStyle name="Normal" xfId="0" builtinId="0"/>
    <cellStyle name="Currency" xfId="1" builtinId="4"/>
    <cellStyle name="Normal 2" xfId="2"/>
  </cellStyles>
  <dxfs count="1">
    <dxf>
      <font>
        <condense val="0"/>
        <color rgb="FF9C0006"/>
        <extend val="0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D5" sqref="D5"/>
    </sheetView>
  </sheetViews>
  <sheetFormatPr baseColWidth="8" defaultRowHeight="14.5"/>
  <cols>
    <col width="41.453125" customWidth="1" style="14" min="1" max="1"/>
    <col width="15" bestFit="1" customWidth="1" style="39" min="2" max="2"/>
    <col width="13.90625" bestFit="1" customWidth="1" style="39" min="3" max="3"/>
    <col width="12.453125" customWidth="1" style="39" min="4" max="13"/>
    <col width="13.90625" bestFit="1" customWidth="1" style="40" min="14" max="14"/>
  </cols>
  <sheetData>
    <row r="1" ht="15.65" customHeight="1" s="39">
      <c r="A1" s="38" t="inlineStr">
        <is>
          <t>DRE - DEMONSTRATIVO DE RESULTADO</t>
        </is>
      </c>
    </row>
    <row r="2">
      <c r="B2" s="30" t="n">
        <v>45658</v>
      </c>
      <c r="C2" s="30" t="n">
        <v>45689</v>
      </c>
      <c r="D2" s="30" t="n">
        <v>45717</v>
      </c>
      <c r="E2" s="30" t="n">
        <v>45748</v>
      </c>
      <c r="F2" s="30" t="n">
        <v>45778</v>
      </c>
      <c r="G2" s="30" t="n">
        <v>45809</v>
      </c>
      <c r="H2" s="30" t="n">
        <v>45839</v>
      </c>
      <c r="I2" s="30" t="n">
        <v>45870</v>
      </c>
      <c r="J2" s="30" t="n">
        <v>45901</v>
      </c>
      <c r="K2" s="30" t="n">
        <v>45931</v>
      </c>
      <c r="L2" s="30" t="n">
        <v>45962</v>
      </c>
      <c r="M2" s="30" t="n">
        <v>45992</v>
      </c>
      <c r="N2" s="4" t="inlineStr">
        <is>
          <t>Acumulado</t>
        </is>
      </c>
    </row>
    <row r="3">
      <c r="A3" s="15" t="inlineStr">
        <is>
          <t>TOTAL - RECEITA BRUTA</t>
        </is>
      </c>
      <c r="B3" s="5">
        <f>B7</f>
        <v/>
      </c>
      <c r="C3" s="5">
        <f>C7</f>
        <v/>
      </c>
      <c r="D3" s="5">
        <f>D7</f>
        <v/>
      </c>
      <c r="E3" s="5">
        <f>E7</f>
        <v/>
      </c>
      <c r="F3" s="5">
        <f>F7</f>
        <v/>
      </c>
      <c r="G3" s="5">
        <f>G7</f>
        <v/>
      </c>
      <c r="H3" s="5">
        <f>H7</f>
        <v/>
      </c>
      <c r="I3" s="5">
        <f>I7</f>
        <v/>
      </c>
      <c r="J3" s="5">
        <f>J7</f>
        <v/>
      </c>
      <c r="K3" s="5">
        <f>K7</f>
        <v/>
      </c>
      <c r="L3" s="5">
        <f>L7</f>
        <v/>
      </c>
      <c r="M3" s="5">
        <f>M7</f>
        <v/>
      </c>
      <c r="N3" s="6">
        <f>SUM(B3:M3)</f>
        <v/>
      </c>
    </row>
    <row r="4">
      <c r="A4" s="16" t="inlineStr">
        <is>
          <t>TAXA CARTÃO DE CRÉDITO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8" t="n"/>
    </row>
    <row r="5">
      <c r="A5" s="17" t="inlineStr">
        <is>
          <t>CARTÕES E PLANOS</t>
        </is>
      </c>
      <c r="B5" s="9">
        <f>'DRE RECEITAS'!C2</f>
        <v/>
      </c>
      <c r="C5" s="9">
        <f>'DRE RECEITAS'!C3</f>
        <v/>
      </c>
      <c r="D5" s="9">
        <f>'DRE RECEITAS'!C4</f>
        <v/>
      </c>
      <c r="E5" s="9">
        <f>'DRE RECEITAS'!C5</f>
        <v/>
      </c>
      <c r="F5" s="9">
        <f>'DRE RECEITAS'!C6</f>
        <v/>
      </c>
      <c r="G5" s="9">
        <f>'DRE RECEITAS'!C7</f>
        <v/>
      </c>
      <c r="H5" s="9">
        <f>'DRE RECEITAS'!C8</f>
        <v/>
      </c>
      <c r="I5" s="9">
        <f>'DRE RECEITAS'!C9</f>
        <v/>
      </c>
      <c r="J5" s="9">
        <f>'DRE RECEITAS'!C10</f>
        <v/>
      </c>
      <c r="K5" s="9">
        <f>'DRE RECEITAS'!C11</f>
        <v/>
      </c>
      <c r="L5" s="9">
        <f>'DRE RECEITAS'!C12</f>
        <v/>
      </c>
      <c r="M5" s="9">
        <f>'DRE RECEITAS'!C13</f>
        <v/>
      </c>
      <c r="N5" s="6">
        <f>SUM(B5:M5)</f>
        <v/>
      </c>
    </row>
    <row r="6">
      <c r="A6" s="17" t="inlineStr">
        <is>
          <t>DINHEIRO&amp;PIX</t>
        </is>
      </c>
      <c r="B6" s="9">
        <f>'DRE RECEITAS'!B2</f>
        <v/>
      </c>
      <c r="C6" s="9">
        <f>'DRE RECEITAS'!B3</f>
        <v/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6">
        <f>SUM(B6:M6)</f>
        <v/>
      </c>
    </row>
    <row r="7">
      <c r="A7" s="15" t="inlineStr">
        <is>
          <t>TOTAL - FATURAMENTO LIQUIDO</t>
        </is>
      </c>
      <c r="B7" s="5">
        <f>SUM(B5:B6)</f>
        <v/>
      </c>
      <c r="C7" s="5">
        <f>SUM(C5:C6)</f>
        <v/>
      </c>
      <c r="D7" s="5">
        <f>SUM(D5:D6)</f>
        <v/>
      </c>
      <c r="E7" s="5">
        <f>SUM(E5:E6)</f>
        <v/>
      </c>
      <c r="F7" s="5">
        <f>SUM(F5:F6)</f>
        <v/>
      </c>
      <c r="G7" s="5">
        <f>SUM(G5:G6)</f>
        <v/>
      </c>
      <c r="H7" s="5">
        <f>SUM(H5:H6)</f>
        <v/>
      </c>
      <c r="I7" s="5">
        <f>SUM(I5:I6)</f>
        <v/>
      </c>
      <c r="J7" s="5">
        <f>SUM(J5:J6)</f>
        <v/>
      </c>
      <c r="K7" s="5">
        <f>SUM(K5:K6)</f>
        <v/>
      </c>
      <c r="L7" s="5">
        <f>SUM(L5:L6)</f>
        <v/>
      </c>
      <c r="M7" s="5">
        <f>SUM(M5:M6)</f>
        <v/>
      </c>
      <c r="N7" s="5">
        <f>SUM(N5:N6)</f>
        <v/>
      </c>
    </row>
    <row r="8">
      <c r="A8" s="15" t="inlineStr">
        <is>
          <t>% Sobre Faturamento Bruto</t>
        </is>
      </c>
      <c r="B8" s="5">
        <f>B7/B3*100</f>
        <v/>
      </c>
      <c r="C8" s="5">
        <f>C7/C3*100</f>
        <v/>
      </c>
      <c r="D8" s="5">
        <f>D7/D3*100</f>
        <v/>
      </c>
      <c r="E8" s="5">
        <f>E7/E3*100</f>
        <v/>
      </c>
      <c r="F8" s="5">
        <f>F7/F3*100</f>
        <v/>
      </c>
      <c r="G8" s="5">
        <f>G7/G3*100</f>
        <v/>
      </c>
      <c r="H8" s="5">
        <f>H7/H3*100</f>
        <v/>
      </c>
      <c r="I8" s="5">
        <f>I7/I3*100</f>
        <v/>
      </c>
      <c r="J8" s="5">
        <f>J7/J3*100</f>
        <v/>
      </c>
      <c r="K8" s="5">
        <f>K7/K3*100</f>
        <v/>
      </c>
      <c r="L8" s="5">
        <f>L7/L3*100</f>
        <v/>
      </c>
      <c r="M8" s="5">
        <f>M7/M3*100</f>
        <v/>
      </c>
      <c r="N8" s="5">
        <f>N7/N3*100</f>
        <v/>
      </c>
    </row>
    <row r="9">
      <c r="A9" s="18" t="inlineStr">
        <is>
          <t>CUSTO ALIMENTAR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10" t="n"/>
    </row>
    <row r="10">
      <c r="A10" s="17" t="inlineStr">
        <is>
          <t>GENEROS ALIMENTICIOS</t>
        </is>
      </c>
      <c r="B10">
        <f>'DRE DESPESAS'!A2</f>
        <v/>
      </c>
      <c r="C10" s="9">
        <f>'DRE DESPESAS'!A3</f>
        <v/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6">
        <f>SUM(B10:M10)</f>
        <v/>
      </c>
    </row>
    <row r="11">
      <c r="A11" s="17" t="inlineStr">
        <is>
          <t>GENEROS DESCARTAVEIS</t>
        </is>
      </c>
      <c r="B11" s="9">
        <f>'DRE DESPESAS'!B2</f>
        <v/>
      </c>
      <c r="C11" s="9">
        <f>'DRE DESPESAS'!B3</f>
        <v/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6">
        <f>SUM(B11:M11)</f>
        <v/>
      </c>
    </row>
    <row r="12">
      <c r="A12" s="17" t="inlineStr">
        <is>
          <t>GENEROS DE LIMPEZA</t>
        </is>
      </c>
      <c r="B12" s="9">
        <f>'DRE DESPESAS'!C2</f>
        <v/>
      </c>
      <c r="C12" s="9">
        <f>'DRE DESPESAS'!A5</f>
        <v/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6">
        <f>SUM(B12:M12)</f>
        <v/>
      </c>
    </row>
    <row r="13">
      <c r="A13" s="17" t="inlineStr">
        <is>
          <t xml:space="preserve"> FRETES E CARRETOS S/ COMPRAS</t>
        </is>
      </c>
      <c r="B13" s="9">
        <f>'DRE DESPESAS'!D2</f>
        <v/>
      </c>
      <c r="C13" s="9">
        <f>'DRE DESPESAS'!A6</f>
        <v/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6">
        <f>SUM(B13:M13)</f>
        <v/>
      </c>
    </row>
    <row r="14">
      <c r="A14" s="17" t="inlineStr">
        <is>
          <t>HIGIENIZACAO - ECOLAB / DIVERSEY</t>
        </is>
      </c>
      <c r="B14" s="9">
        <f>'DRE DESPESAS'!E2</f>
        <v/>
      </c>
      <c r="C14" s="9">
        <f>'DRE DESPESAS'!A7</f>
        <v/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6">
        <f>SUM(B14:M14)</f>
        <v/>
      </c>
    </row>
    <row r="15">
      <c r="A15" s="15" t="inlineStr">
        <is>
          <t>TOTAL - CUSTO ALIMENTAR</t>
        </is>
      </c>
      <c r="B15" s="5">
        <f>SUM(B11:B14)</f>
        <v/>
      </c>
      <c r="C15" s="5">
        <f>SUM(C10:C14)</f>
        <v/>
      </c>
      <c r="D15" s="5">
        <f>SUM(D10:D14)</f>
        <v/>
      </c>
      <c r="E15" s="5">
        <f>SUM(E10:E14)</f>
        <v/>
      </c>
      <c r="F15" s="5">
        <f>SUM(F10:F14)</f>
        <v/>
      </c>
      <c r="G15" s="5">
        <f>SUM(G10:G14)</f>
        <v/>
      </c>
      <c r="H15" s="5">
        <f>SUM(H10:H14)</f>
        <v/>
      </c>
      <c r="I15" s="5">
        <f>SUM(I10:I14)</f>
        <v/>
      </c>
      <c r="J15" s="5">
        <f>SUM(J10:J14)</f>
        <v/>
      </c>
      <c r="K15" s="5">
        <f>SUM(K10:K14)</f>
        <v/>
      </c>
      <c r="L15" s="5">
        <f>SUM(L10:L14)</f>
        <v/>
      </c>
      <c r="M15" s="5">
        <f>SUM(M10:M14)</f>
        <v/>
      </c>
      <c r="N15" s="6">
        <f>SUM(B15:M15)</f>
        <v/>
      </c>
    </row>
    <row r="16">
      <c r="A16" s="15" t="inlineStr">
        <is>
          <t>% Sobre Receita Liquida</t>
        </is>
      </c>
      <c r="B16" s="5">
        <f>(B15/B7*100)</f>
        <v/>
      </c>
      <c r="C16" s="5">
        <f>(C15/C3*100)</f>
        <v/>
      </c>
      <c r="D16" s="5">
        <f>(D15/D3*100)</f>
        <v/>
      </c>
      <c r="E16" s="5">
        <f>(E15/E3*100)</f>
        <v/>
      </c>
      <c r="F16" s="5">
        <f>(F15/F3*100)</f>
        <v/>
      </c>
      <c r="G16" s="5">
        <f>(G15/G3*100)</f>
        <v/>
      </c>
      <c r="H16" s="5">
        <f>(H15/H3*100)</f>
        <v/>
      </c>
      <c r="I16" s="5">
        <f>(I15/I3*100)</f>
        <v/>
      </c>
      <c r="J16" s="5">
        <f>(J15/J3*100)</f>
        <v/>
      </c>
      <c r="K16" s="5">
        <f>(K15/K3*100)</f>
        <v/>
      </c>
      <c r="L16" s="5">
        <f>(L15/L3*100)</f>
        <v/>
      </c>
      <c r="M16" s="5">
        <f>(M15/M3*100)</f>
        <v/>
      </c>
      <c r="N16" s="6" t="n"/>
    </row>
    <row r="17">
      <c r="A17" s="19" t="inlineStr">
        <is>
          <t>MÃO DE OBRA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1" t="n"/>
    </row>
    <row r="18">
      <c r="A18" s="17" t="inlineStr">
        <is>
          <t>SALARIOS</t>
        </is>
      </c>
      <c r="B18" s="9">
        <f>'DRE DESPESAS'!F2</f>
        <v/>
      </c>
      <c r="C18" s="9" t="n">
        <v>1885.65</v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6">
        <f>SUM(B18:M18)</f>
        <v/>
      </c>
    </row>
    <row r="19">
      <c r="A19" s="17" t="inlineStr">
        <is>
          <t>ALIMENTACAO</t>
        </is>
      </c>
      <c r="B19" s="9">
        <f>'DRE DESPESAS'!G2</f>
        <v/>
      </c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6">
        <f>SUM(B19:M19)</f>
        <v/>
      </c>
    </row>
    <row r="20">
      <c r="A20" s="17" t="inlineStr">
        <is>
          <t>VALE TRANSPORTE</t>
        </is>
      </c>
      <c r="B20" s="9">
        <f>'DRE DESPESAS'!H2</f>
        <v/>
      </c>
      <c r="C20" s="9" t="n">
        <v>252</v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6">
        <f>SUM(B20:M20)</f>
        <v/>
      </c>
    </row>
    <row r="21">
      <c r="A21" s="15" t="inlineStr">
        <is>
          <t>TOTAL - MÃO DE OBRA</t>
        </is>
      </c>
      <c r="B21" s="5">
        <f>SUM(B18:B20)</f>
        <v/>
      </c>
      <c r="C21" s="5">
        <f>SUM(C18:C20)</f>
        <v/>
      </c>
      <c r="D21" s="5">
        <f>SUM(D18:D20)</f>
        <v/>
      </c>
      <c r="E21" s="5">
        <f>SUM(E18:E20)</f>
        <v/>
      </c>
      <c r="F21" s="5">
        <f>SUM(F18:F20)</f>
        <v/>
      </c>
      <c r="G21" s="5">
        <f>SUM(G18:G20)</f>
        <v/>
      </c>
      <c r="H21" s="5">
        <f>SUM(H18:H20)</f>
        <v/>
      </c>
      <c r="I21" s="5">
        <f>SUM(I18:I20)</f>
        <v/>
      </c>
      <c r="J21" s="5">
        <f>SUM(J18:J20)</f>
        <v/>
      </c>
      <c r="K21" s="5">
        <f>SUM(K18:K20)</f>
        <v/>
      </c>
      <c r="L21" s="5">
        <f>SUM(L18:L20)</f>
        <v/>
      </c>
      <c r="M21" s="5">
        <f>SUM(M18:M20)</f>
        <v/>
      </c>
      <c r="N21" s="6">
        <f>SUM(B21:M21)</f>
        <v/>
      </c>
    </row>
    <row r="22">
      <c r="A22" s="15" t="inlineStr">
        <is>
          <t>% Sobre Receita Líquida</t>
        </is>
      </c>
      <c r="B22" s="5">
        <f>B21/B7*100</f>
        <v/>
      </c>
      <c r="C22" s="5">
        <f>C21/C7*100</f>
        <v/>
      </c>
      <c r="D22" s="5">
        <f>D21/D7*100</f>
        <v/>
      </c>
      <c r="E22" s="5">
        <f>E21/E7*100</f>
        <v/>
      </c>
      <c r="F22" s="5">
        <f>F21/F7*100</f>
        <v/>
      </c>
      <c r="G22" s="5">
        <f>G21/G7*100</f>
        <v/>
      </c>
      <c r="H22" s="5">
        <f>H21/H7*100</f>
        <v/>
      </c>
      <c r="I22" s="5">
        <f>I21/I7*100</f>
        <v/>
      </c>
      <c r="J22" s="5">
        <f>J21/J7*100</f>
        <v/>
      </c>
      <c r="K22" s="5">
        <f>K21/K7*100</f>
        <v/>
      </c>
      <c r="L22" s="5">
        <f>L21/L7*100</f>
        <v/>
      </c>
      <c r="M22" s="5">
        <f>M21/M7*100</f>
        <v/>
      </c>
      <c r="N22" s="6" t="n"/>
    </row>
    <row r="23">
      <c r="A23" s="20" t="inlineStr">
        <is>
          <t>DESPESAS OPERACIONAIS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12" t="n"/>
    </row>
    <row r="24">
      <c r="A24" s="17" t="inlineStr">
        <is>
          <t>ÁGUA</t>
        </is>
      </c>
      <c r="B24" s="13">
        <f>'DRE DESPESAS'!I2</f>
        <v/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6">
        <f>SUM(B24:M24)</f>
        <v/>
      </c>
    </row>
    <row r="25">
      <c r="A25" s="17" t="inlineStr">
        <is>
          <t>LUZ (ENERGIA)</t>
        </is>
      </c>
      <c r="B25" s="13">
        <f>'DRE DESPESAS'!J2</f>
        <v/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6">
        <f>SUM(B25:M25)</f>
        <v/>
      </c>
    </row>
    <row r="26">
      <c r="A26" s="17" t="inlineStr">
        <is>
          <t>MANUTENCOES E REPAROS</t>
        </is>
      </c>
      <c r="B26" s="9">
        <f>'DRE DESPESAS'!K2</f>
        <v/>
      </c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6">
        <f>SUM(B26:M26)</f>
        <v/>
      </c>
    </row>
    <row r="27">
      <c r="A27" s="17" t="inlineStr">
        <is>
          <t xml:space="preserve">INTERNET </t>
        </is>
      </c>
      <c r="B27" s="9">
        <f>'DRE DESPESAS'!L2</f>
        <v/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6">
        <f>SUM(B27:M27)</f>
        <v/>
      </c>
    </row>
    <row r="28">
      <c r="A28" s="17" t="inlineStr">
        <is>
          <t>TELEFONE / FAX</t>
        </is>
      </c>
      <c r="B28" s="9">
        <f>'DRE DESPESAS'!M2</f>
        <v/>
      </c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6">
        <f>SUM(B28:M28)</f>
        <v/>
      </c>
    </row>
    <row r="29">
      <c r="A29" s="17" t="inlineStr">
        <is>
          <t>UNIFORMES</t>
        </is>
      </c>
      <c r="B29" s="9">
        <f>'DRE DESPESAS'!N2</f>
        <v/>
      </c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6">
        <f>SUM(B29:M29)</f>
        <v/>
      </c>
    </row>
    <row r="30">
      <c r="A30" s="17" t="inlineStr">
        <is>
          <t>UTENSILIOS</t>
        </is>
      </c>
      <c r="B30" s="9">
        <f>'DRE DESPESAS'!O2</f>
        <v/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6">
        <f>SUM(B30:M30)</f>
        <v/>
      </c>
    </row>
    <row r="31">
      <c r="A31" s="17" t="inlineStr">
        <is>
          <t>EPI - PROTECAO INDIVIDUAL</t>
        </is>
      </c>
      <c r="B31" s="9">
        <f>'DRE DESPESAS'!P2</f>
        <v/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6">
        <f>SUM(B31:M31)</f>
        <v/>
      </c>
    </row>
    <row r="32">
      <c r="A32" s="17" t="inlineStr">
        <is>
          <t>OUTROS CUSTOS GERAIS</t>
        </is>
      </c>
      <c r="B32" s="9">
        <f>'DRE DESPESAS'!Q2</f>
        <v/>
      </c>
      <c r="C32" s="9" t="n">
        <v>14746.27</v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6">
        <f>SUM(B32:M32)</f>
        <v/>
      </c>
    </row>
    <row r="33">
      <c r="A33" s="17" t="inlineStr">
        <is>
          <t>REEMBOLSO DE LOCOMOCAO</t>
        </is>
      </c>
      <c r="B33" s="9">
        <f>'DRE DESPESAS'!R2</f>
        <v/>
      </c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6">
        <f>SUM(B33:M33)</f>
        <v/>
      </c>
    </row>
    <row r="34">
      <c r="A34" s="17" t="inlineStr">
        <is>
          <t>TAXA DE ADM DO CARTÃO DE CRÉDITO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6">
        <f>SUM(B34:M34)</f>
        <v/>
      </c>
    </row>
    <row r="35">
      <c r="A35" s="17" t="inlineStr">
        <is>
          <t>COPIAS E IMPRESSOES</t>
        </is>
      </c>
      <c r="B35" s="9">
        <f>'DRE DESPESAS'!S2</f>
        <v/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6">
        <f>SUM(B35:M35)</f>
        <v/>
      </c>
    </row>
    <row r="36">
      <c r="A36" s="15" t="inlineStr">
        <is>
          <t>TOTAL - DESPESAS OPERACIONAIS</t>
        </is>
      </c>
      <c r="B36" s="5">
        <f>SUM(B24:B35)</f>
        <v/>
      </c>
      <c r="C36" s="5">
        <f>SUM(C24:C35)</f>
        <v/>
      </c>
      <c r="D36" s="5">
        <f>SUM(D24:D35)</f>
        <v/>
      </c>
      <c r="E36" s="5">
        <f>SUM(E24:E35)</f>
        <v/>
      </c>
      <c r="F36" s="5">
        <f>SUM(F24:F35)</f>
        <v/>
      </c>
      <c r="G36" s="5">
        <f>SUM(G24:G35)</f>
        <v/>
      </c>
      <c r="H36" s="5">
        <f>SUM(H24:H35)</f>
        <v/>
      </c>
      <c r="I36" s="5">
        <f>SUM(I24:I35)</f>
        <v/>
      </c>
      <c r="J36" s="5">
        <f>SUM(J24:J35)</f>
        <v/>
      </c>
      <c r="K36" s="5">
        <f>SUM(K24:K35)</f>
        <v/>
      </c>
      <c r="L36" s="5">
        <f>SUM(L24:L35)</f>
        <v/>
      </c>
      <c r="M36" s="5">
        <f>SUM(M24:M35)</f>
        <v/>
      </c>
      <c r="N36" s="6">
        <f>SUM(B36:M36)</f>
        <v/>
      </c>
    </row>
    <row r="37">
      <c r="A37" s="15" t="inlineStr">
        <is>
          <t>% Sobre Receita Líquida</t>
        </is>
      </c>
      <c r="B37" s="5">
        <f>B36/B7*100</f>
        <v/>
      </c>
      <c r="C37" s="5">
        <f>C36/C7*100</f>
        <v/>
      </c>
      <c r="D37" s="5">
        <f>D36/D7*100</f>
        <v/>
      </c>
      <c r="E37" s="5">
        <f>E36/E7*100</f>
        <v/>
      </c>
      <c r="F37" s="5">
        <f>F36/F7*100</f>
        <v/>
      </c>
      <c r="G37" s="5">
        <f>G36/G7*100</f>
        <v/>
      </c>
      <c r="H37" s="5">
        <f>H36/H7*100</f>
        <v/>
      </c>
      <c r="I37" s="5">
        <f>I36/I7*100</f>
        <v/>
      </c>
      <c r="J37" s="5">
        <f>J36/J7*100</f>
        <v/>
      </c>
      <c r="K37" s="5">
        <f>K36/K7*100</f>
        <v/>
      </c>
      <c r="L37" s="5">
        <f>L36/L7*100</f>
        <v/>
      </c>
      <c r="M37" s="5">
        <f>M36/M7*100</f>
        <v/>
      </c>
      <c r="N37" s="6" t="n"/>
    </row>
    <row r="38">
      <c r="A38" s="1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6" t="n"/>
    </row>
    <row r="39">
      <c r="A39" s="15" t="inlineStr">
        <is>
          <t>PROLABORE</t>
        </is>
      </c>
      <c r="B39" s="5">
        <f>'DRE DESPESAS'!T2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6">
        <f>SUM(B39:M39)</f>
        <v/>
      </c>
    </row>
    <row r="40">
      <c r="A40" s="15" t="inlineStr">
        <is>
          <t>% Sobre Receita Líquida</t>
        </is>
      </c>
      <c r="B40" s="5">
        <f>B39/B7*100</f>
        <v/>
      </c>
      <c r="C40" s="5">
        <f>C39/C7*100</f>
        <v/>
      </c>
      <c r="D40" s="5">
        <f>D39/D7*100</f>
        <v/>
      </c>
      <c r="E40" s="5">
        <f>E39/E7*100</f>
        <v/>
      </c>
      <c r="F40" s="5">
        <f>F39/F7*100</f>
        <v/>
      </c>
      <c r="G40" s="5">
        <f>G39/G7*100</f>
        <v/>
      </c>
      <c r="H40" s="5">
        <f>H39/H7*100</f>
        <v/>
      </c>
      <c r="I40" s="5">
        <f>I39/I7*100</f>
        <v/>
      </c>
      <c r="J40" s="5">
        <f>J39/J7*100</f>
        <v/>
      </c>
      <c r="K40" s="5">
        <f>K39/K7*100</f>
        <v/>
      </c>
      <c r="L40" s="5">
        <f>L39/L7*100</f>
        <v/>
      </c>
      <c r="M40" s="5">
        <f>M39/M7*100</f>
        <v/>
      </c>
      <c r="N40" s="6" t="n"/>
    </row>
    <row r="41">
      <c r="A41" s="1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6" t="n"/>
    </row>
    <row r="42">
      <c r="A42" s="21" t="inlineStr">
        <is>
          <t>RESULTADO</t>
        </is>
      </c>
      <c r="B42" s="5">
        <f>B7-B15-B21-B36-B39</f>
        <v/>
      </c>
      <c r="C42" s="5">
        <f>C7-C15-C21-C36-C39</f>
        <v/>
      </c>
      <c r="D42" s="5">
        <f>D7-D15-D21-D36-D39</f>
        <v/>
      </c>
      <c r="E42" s="5">
        <f>E7-E15-E21-E36-E39</f>
        <v/>
      </c>
      <c r="F42" s="5">
        <f>F7-F15-F21-F36-F39</f>
        <v/>
      </c>
      <c r="G42" s="5">
        <f>G7-G15-G21-G36-G39</f>
        <v/>
      </c>
      <c r="H42" s="5">
        <f>H7-H15-H21-H36-H39</f>
        <v/>
      </c>
      <c r="I42" s="5">
        <f>I7-I15-I21-I36-I39</f>
        <v/>
      </c>
      <c r="J42" s="5">
        <f>J7-J15-J21-J36-J39</f>
        <v/>
      </c>
      <c r="K42" s="5">
        <f>K7-K15-K21-K36-K39</f>
        <v/>
      </c>
      <c r="L42" s="5">
        <f>L7-L15-L21-L36-L39</f>
        <v/>
      </c>
      <c r="M42" s="5">
        <f>M7-M15-M21-M36-M39</f>
        <v/>
      </c>
      <c r="N42" s="6">
        <f>SUM(B42:M42)</f>
        <v/>
      </c>
    </row>
    <row r="43" ht="16.25" customHeight="1" s="39" thickBot="1">
      <c r="A43" s="15" t="inlineStr">
        <is>
          <t>% Sobre Receita Liquida</t>
        </is>
      </c>
      <c r="B43" s="31">
        <f>B42/B7*100</f>
        <v/>
      </c>
      <c r="C43" s="31">
        <f>C42/C7*100</f>
        <v/>
      </c>
      <c r="D43" s="31">
        <f>D42/D7*100</f>
        <v/>
      </c>
      <c r="E43" s="31">
        <f>E42/E7*100</f>
        <v/>
      </c>
      <c r="F43" s="31">
        <f>F42/F7*100</f>
        <v/>
      </c>
      <c r="G43" s="31">
        <f>G42/G7*100</f>
        <v/>
      </c>
      <c r="H43" s="31">
        <f>H42/H7*100</f>
        <v/>
      </c>
      <c r="I43" s="31">
        <f>I42/I7*100</f>
        <v/>
      </c>
      <c r="J43" s="31">
        <f>J42/J7*100</f>
        <v/>
      </c>
      <c r="K43" s="31">
        <f>K42/K7*100</f>
        <v/>
      </c>
      <c r="L43" s="31">
        <f>L42/L7*100</f>
        <v/>
      </c>
      <c r="M43" s="32">
        <f>M42/M7*100</f>
        <v/>
      </c>
      <c r="N43" s="33">
        <f>N42/N7*100</f>
        <v/>
      </c>
    </row>
  </sheetData>
  <mergeCells count="1">
    <mergeCell ref="A1:N1"/>
  </mergeCells>
  <conditionalFormatting sqref="B43:N43">
    <cfRule type="cellIs" priority="1" operator="lessThan" dxfId="0">
      <formula>60</formula>
    </cfRule>
  </conditionalFormatting>
  <pageMargins left="0.07874" right="0.19685" top="0.3937" bottom="0.3937" header="0" footer="0"/>
  <pageSetup orientation="landscape" paperSize="9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O10"/>
  <sheetViews>
    <sheetView workbookViewId="0">
      <selection activeCell="C8" sqref="C8"/>
    </sheetView>
  </sheetViews>
  <sheetFormatPr baseColWidth="8" defaultRowHeight="14.5"/>
  <cols>
    <col width="13.6328125" bestFit="1" customWidth="1" style="39" min="1" max="1"/>
    <col width="9.08984375" customWidth="1" style="22" min="2" max="2"/>
    <col width="11.36328125" bestFit="1" customWidth="1" style="22" min="3" max="3"/>
    <col width="9.08984375" customWidth="1" style="22" min="4" max="4"/>
    <col width="13.54296875" bestFit="1" customWidth="1" style="39" min="5" max="5"/>
    <col width="5.6328125" customWidth="1" style="39" min="7" max="7"/>
    <col width="14.90625" bestFit="1" customWidth="1" style="39" min="9" max="9"/>
    <col width="6.36328125" customWidth="1" style="39" min="10" max="10"/>
    <col width="15" customWidth="1" style="39" min="12" max="12"/>
    <col width="17.36328125" customWidth="1" style="39" min="13" max="13"/>
    <col width="13.36328125" customWidth="1" style="39" min="14" max="14"/>
  </cols>
  <sheetData>
    <row r="1">
      <c r="A1" s="23" t="n"/>
      <c r="B1" s="24" t="inlineStr">
        <is>
          <t>DIAS</t>
        </is>
      </c>
      <c r="C1" s="24" t="inlineStr">
        <is>
          <t>QTD DIÁRIA</t>
        </is>
      </c>
      <c r="D1" s="24" t="inlineStr">
        <is>
          <t>TOTAL</t>
        </is>
      </c>
      <c r="E1" s="24" t="inlineStr">
        <is>
          <t>VALOR MÉDIO</t>
        </is>
      </c>
      <c r="F1" s="24" t="inlineStr">
        <is>
          <t>TOTAL</t>
        </is>
      </c>
      <c r="H1" s="23" t="inlineStr">
        <is>
          <t>DESPESA</t>
        </is>
      </c>
      <c r="I1" s="24" t="inlineStr">
        <is>
          <t>DESPESA TOTAL</t>
        </is>
      </c>
      <c r="K1" s="23" t="inlineStr">
        <is>
          <t>LUCRO</t>
        </is>
      </c>
      <c r="L1" s="24" t="inlineStr">
        <is>
          <t>LUCRO TOTAL</t>
        </is>
      </c>
      <c r="N1" s="23" t="inlineStr">
        <is>
          <t>DESPESAS</t>
        </is>
      </c>
      <c r="O1" s="23" t="n"/>
    </row>
    <row r="2">
      <c r="A2" s="23" t="inlineStr">
        <is>
          <t>HAMBURGUER</t>
        </is>
      </c>
      <c r="B2" s="24" t="n">
        <v>12</v>
      </c>
      <c r="C2" s="24" t="n">
        <v>30</v>
      </c>
      <c r="D2" s="24">
        <f>B2*C2</f>
        <v/>
      </c>
      <c r="E2" s="23" t="n">
        <v>20</v>
      </c>
      <c r="F2" s="23">
        <f>D2*E2</f>
        <v/>
      </c>
      <c r="H2" s="23" t="n">
        <v>9.83</v>
      </c>
      <c r="I2" s="23">
        <f>D2*H2</f>
        <v/>
      </c>
      <c r="K2" s="23" t="n">
        <v>10.17</v>
      </c>
      <c r="L2" s="23">
        <f>K2*D2</f>
        <v/>
      </c>
      <c r="N2" s="23" t="inlineStr">
        <is>
          <t>AGUA</t>
        </is>
      </c>
      <c r="O2" s="23" t="n">
        <v>1000</v>
      </c>
    </row>
    <row r="3">
      <c r="A3" s="23" t="inlineStr">
        <is>
          <t>BEBIDAS</t>
        </is>
      </c>
      <c r="B3" s="24" t="n">
        <v>12</v>
      </c>
      <c r="C3" s="24" t="n">
        <v>30</v>
      </c>
      <c r="D3" s="24">
        <f>B3*C3</f>
        <v/>
      </c>
      <c r="E3" s="23" t="n">
        <v>5</v>
      </c>
      <c r="F3" s="23">
        <f>D3*E3</f>
        <v/>
      </c>
      <c r="H3" s="23" t="n">
        <v>2.1</v>
      </c>
      <c r="I3" s="23">
        <f>D3*H3</f>
        <v/>
      </c>
      <c r="K3" s="23" t="n">
        <v>2.9</v>
      </c>
      <c r="L3" s="23">
        <f>K3*D3</f>
        <v/>
      </c>
      <c r="N3" s="23" t="inlineStr">
        <is>
          <t>LUZ</t>
        </is>
      </c>
      <c r="O3" s="23" t="n">
        <v>500</v>
      </c>
    </row>
    <row r="4">
      <c r="A4" s="23" t="inlineStr">
        <is>
          <t>FRITAS</t>
        </is>
      </c>
      <c r="B4" s="24" t="n">
        <v>12</v>
      </c>
      <c r="C4" s="24" t="n">
        <v>4</v>
      </c>
      <c r="D4" s="24">
        <f>B4*C4</f>
        <v/>
      </c>
      <c r="E4" s="23" t="n">
        <v>18</v>
      </c>
      <c r="F4" s="23">
        <f>D4*E4</f>
        <v/>
      </c>
      <c r="H4" s="23" t="n">
        <v>8</v>
      </c>
      <c r="I4" s="23">
        <f>D4*H4</f>
        <v/>
      </c>
      <c r="K4" s="23" t="n">
        <v>10</v>
      </c>
      <c r="L4" s="23">
        <f>K4*D4</f>
        <v/>
      </c>
      <c r="N4" s="23" t="inlineStr">
        <is>
          <t>GAS</t>
        </is>
      </c>
      <c r="O4" s="23" t="n">
        <v>90</v>
      </c>
    </row>
    <row r="5" ht="15.65" customFormat="1" customHeight="1" s="27">
      <c r="A5" s="25" t="n"/>
      <c r="B5" s="26" t="n"/>
      <c r="C5" s="26" t="n"/>
      <c r="D5" s="26" t="n"/>
      <c r="E5" s="25" t="n"/>
      <c r="F5" s="25">
        <f>SUM(F2:F4)</f>
        <v/>
      </c>
      <c r="H5" s="25" t="n"/>
      <c r="I5" s="25">
        <f>SUM(I2:I4)</f>
        <v/>
      </c>
      <c r="K5" s="25" t="n"/>
      <c r="L5" s="25">
        <f>SUM(L2:L4)</f>
        <v/>
      </c>
      <c r="N5" s="28" t="inlineStr">
        <is>
          <t>PROLABORE</t>
        </is>
      </c>
      <c r="O5" s="28" t="n">
        <v>2520</v>
      </c>
    </row>
    <row r="6">
      <c r="N6" s="29" t="n"/>
      <c r="O6" s="29">
        <f>SUM(O2:O5)</f>
        <v/>
      </c>
    </row>
    <row r="10" ht="18" customHeight="1" s="39">
      <c r="J10" s="41" t="inlineStr">
        <is>
          <t>LUCRO MENSAL:</t>
        </is>
      </c>
      <c r="M10" s="42">
        <f>L5-O6</f>
        <v/>
      </c>
    </row>
  </sheetData>
  <mergeCells count="1">
    <mergeCell ref="J10:L10"/>
  </mergeCells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ALIMENTICIOS</t>
        </is>
      </c>
      <c r="B1" s="43" t="inlineStr">
        <is>
          <t>DESCARTAVEIS</t>
        </is>
      </c>
      <c r="C1" s="43" t="inlineStr">
        <is>
          <t>LIMPEZA</t>
        </is>
      </c>
      <c r="D1" s="43" t="inlineStr">
        <is>
          <t xml:space="preserve"> FRETES</t>
        </is>
      </c>
      <c r="E1" s="43" t="inlineStr">
        <is>
          <t>FAXINEIRA</t>
        </is>
      </c>
      <c r="F1" s="43" t="inlineStr">
        <is>
          <t>SALARIOS</t>
        </is>
      </c>
      <c r="G1" s="43" t="inlineStr">
        <is>
          <t>ALIMENT. PESSOAL</t>
        </is>
      </c>
      <c r="H1" s="43" t="inlineStr">
        <is>
          <t>VALE TRANSPORTE</t>
        </is>
      </c>
      <c r="I1" s="43" t="inlineStr">
        <is>
          <t>AGUA</t>
        </is>
      </c>
      <c r="J1" s="43" t="inlineStr">
        <is>
          <t>LUZ</t>
        </is>
      </c>
      <c r="K1" s="43" t="inlineStr">
        <is>
          <t>MANUTENCOES</t>
        </is>
      </c>
      <c r="L1" s="43" t="inlineStr">
        <is>
          <t xml:space="preserve">INTERNET </t>
        </is>
      </c>
      <c r="M1" s="43" t="inlineStr">
        <is>
          <t>TELEFONE</t>
        </is>
      </c>
      <c r="N1" s="43" t="inlineStr">
        <is>
          <t>UNIFORMES</t>
        </is>
      </c>
      <c r="O1" s="43" t="inlineStr">
        <is>
          <t>UTENSILIOS</t>
        </is>
      </c>
      <c r="P1" s="43" t="inlineStr">
        <is>
          <t>EPI</t>
        </is>
      </c>
      <c r="Q1" s="43" t="inlineStr">
        <is>
          <t>OUTROS CUSTOS GERAIS</t>
        </is>
      </c>
      <c r="R1" s="43" t="inlineStr">
        <is>
          <t>REEMBOLSO DE LOC.</t>
        </is>
      </c>
      <c r="S1" s="43" t="inlineStr">
        <is>
          <t>IMPRESSOES</t>
        </is>
      </c>
      <c r="T1" s="43" t="inlineStr">
        <is>
          <t>PROLABORE</t>
        </is>
      </c>
      <c r="U1" s="43" t="inlineStr">
        <is>
          <t>MES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n">
        <v>180</v>
      </c>
      <c r="F2" t="n">
        <v>962.36</v>
      </c>
      <c r="G2" t="n">
        <v>0</v>
      </c>
      <c r="H2" t="n">
        <v>277.2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8350.35</v>
      </c>
      <c r="R2" t="n">
        <v>0</v>
      </c>
      <c r="S2" t="n">
        <v>0</v>
      </c>
      <c r="T2" t="n">
        <v>0</v>
      </c>
      <c r="U2" t="inlineStr">
        <is>
          <t>Janeiro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FATURAMENTO</t>
        </is>
      </c>
      <c r="B1" s="43" t="inlineStr">
        <is>
          <t>DINHEIRO</t>
        </is>
      </c>
      <c r="C1" s="43" t="inlineStr">
        <is>
          <t>CARTAO E PLANOS</t>
        </is>
      </c>
      <c r="D1" s="43" t="inlineStr">
        <is>
          <t>MES</t>
        </is>
      </c>
    </row>
    <row r="2">
      <c r="A2" t="n">
        <v>9471.870000000001</v>
      </c>
      <c r="B2" t="n">
        <v>3540</v>
      </c>
      <c r="C2" t="n">
        <v>5931.870000000001</v>
      </c>
      <c r="D2" t="inlineStr">
        <is>
          <t>Janeiro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2025-10-24T21:46:29Z</dcterms:created>
  <dcterms:modified xmlns:dcterms="http://purl.org/dc/terms/" xmlns:xsi="http://www.w3.org/2001/XMLSchema-instance" xsi:type="dcterms:W3CDTF">2025-11-07T01:40:51Z</dcterms:modified>
  <cp:lastModifiedBy>Leonardo Cerqueira</cp:lastModifiedBy>
</cp:coreProperties>
</file>