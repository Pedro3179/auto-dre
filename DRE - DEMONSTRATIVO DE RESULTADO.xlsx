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e\Dropbox\Documentos\Programação\Projetos Pessoais\auto_dre\"/>
    </mc:Choice>
  </mc:AlternateContent>
  <xr:revisionPtr revIDLastSave="0" documentId="13_ncr:1_{51E80BA7-9C28-4E2B-86B9-38F31E9FCD1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EMONSTRATIVO" sheetId="1" r:id="rId1"/>
    <sheet name="SIMULADOR" sheetId="2" r:id="rId2"/>
    <sheet name="DRE DESPESAS" sheetId="3" r:id="rId3"/>
    <sheet name="DRE RECEIT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2" l="1"/>
  <c r="D4" i="2"/>
  <c r="I4" i="2" s="1"/>
  <c r="D3" i="2"/>
  <c r="L3" i="2" s="1"/>
  <c r="D2" i="2"/>
  <c r="L2" i="2" s="1"/>
  <c r="B39" i="1"/>
  <c r="N39" i="1" s="1"/>
  <c r="M36" i="1"/>
  <c r="M37" i="1" s="1"/>
  <c r="L36" i="1"/>
  <c r="L37" i="1" s="1"/>
  <c r="K36" i="1"/>
  <c r="K37" i="1" s="1"/>
  <c r="J36" i="1"/>
  <c r="I36" i="1"/>
  <c r="I37" i="1" s="1"/>
  <c r="H36" i="1"/>
  <c r="H37" i="1" s="1"/>
  <c r="G36" i="1"/>
  <c r="G37" i="1" s="1"/>
  <c r="F36" i="1"/>
  <c r="E36" i="1"/>
  <c r="D36" i="1"/>
  <c r="C36" i="1"/>
  <c r="B35" i="1"/>
  <c r="N35" i="1" s="1"/>
  <c r="N34" i="1"/>
  <c r="B33" i="1"/>
  <c r="N33" i="1" s="1"/>
  <c r="B32" i="1"/>
  <c r="N32" i="1" s="1"/>
  <c r="B31" i="1"/>
  <c r="N31" i="1" s="1"/>
  <c r="B30" i="1"/>
  <c r="N30" i="1" s="1"/>
  <c r="B29" i="1"/>
  <c r="N29" i="1" s="1"/>
  <c r="B28" i="1"/>
  <c r="N28" i="1" s="1"/>
  <c r="B27" i="1"/>
  <c r="N27" i="1" s="1"/>
  <c r="B26" i="1"/>
  <c r="N26" i="1" s="1"/>
  <c r="B25" i="1"/>
  <c r="N25" i="1" s="1"/>
  <c r="B24" i="1"/>
  <c r="N24" i="1" s="1"/>
  <c r="M21" i="1"/>
  <c r="M22" i="1" s="1"/>
  <c r="L21" i="1"/>
  <c r="L22" i="1" s="1"/>
  <c r="K21" i="1"/>
  <c r="K22" i="1" s="1"/>
  <c r="J21" i="1"/>
  <c r="I21" i="1"/>
  <c r="I22" i="1" s="1"/>
  <c r="H21" i="1"/>
  <c r="H22" i="1" s="1"/>
  <c r="G21" i="1"/>
  <c r="G22" i="1" s="1"/>
  <c r="F21" i="1"/>
  <c r="F22" i="1" s="1"/>
  <c r="E21" i="1"/>
  <c r="D21" i="1"/>
  <c r="C21" i="1"/>
  <c r="B20" i="1"/>
  <c r="N19" i="1"/>
  <c r="B19" i="1"/>
  <c r="B18" i="1"/>
  <c r="N18" i="1" s="1"/>
  <c r="M15" i="1"/>
  <c r="M16" i="1" s="1"/>
  <c r="L15" i="1"/>
  <c r="K15" i="1"/>
  <c r="K16" i="1" s="1"/>
  <c r="J15" i="1"/>
  <c r="I15" i="1"/>
  <c r="H15" i="1"/>
  <c r="G15" i="1"/>
  <c r="F15" i="1"/>
  <c r="E15" i="1"/>
  <c r="D15" i="1"/>
  <c r="C14" i="1"/>
  <c r="B14" i="1"/>
  <c r="N14" i="1" s="1"/>
  <c r="C13" i="1"/>
  <c r="B13" i="1"/>
  <c r="N13" i="1" s="1"/>
  <c r="C12" i="1"/>
  <c r="B12" i="1"/>
  <c r="C11" i="1"/>
  <c r="B11" i="1"/>
  <c r="C10" i="1"/>
  <c r="C15" i="1" s="1"/>
  <c r="B10" i="1"/>
  <c r="N10" i="1" s="1"/>
  <c r="M7" i="1"/>
  <c r="M3" i="1" s="1"/>
  <c r="L7" i="1"/>
  <c r="L3" i="1" s="1"/>
  <c r="K7" i="1"/>
  <c r="K3" i="1" s="1"/>
  <c r="C6" i="1"/>
  <c r="B6" i="1"/>
  <c r="N6" i="1" s="1"/>
  <c r="M5" i="1"/>
  <c r="L5" i="1"/>
  <c r="K5" i="1"/>
  <c r="J5" i="1"/>
  <c r="J7" i="1" s="1"/>
  <c r="I5" i="1"/>
  <c r="I7" i="1" s="1"/>
  <c r="H5" i="1"/>
  <c r="H7" i="1" s="1"/>
  <c r="G5" i="1"/>
  <c r="G7" i="1" s="1"/>
  <c r="F5" i="1"/>
  <c r="F7" i="1" s="1"/>
  <c r="E5" i="1"/>
  <c r="E7" i="1" s="1"/>
  <c r="D5" i="1"/>
  <c r="D7" i="1" s="1"/>
  <c r="C5" i="1"/>
  <c r="C7" i="1" s="1"/>
  <c r="B5" i="1"/>
  <c r="N5" i="1" s="1"/>
  <c r="N7" i="1" s="1"/>
  <c r="N12" i="1" l="1"/>
  <c r="B21" i="1"/>
  <c r="N21" i="1" s="1"/>
  <c r="B15" i="1"/>
  <c r="N15" i="1" s="1"/>
  <c r="J3" i="1"/>
  <c r="J40" i="1"/>
  <c r="J37" i="1"/>
  <c r="J22" i="1"/>
  <c r="J8" i="1"/>
  <c r="J42" i="1"/>
  <c r="J43" i="1" s="1"/>
  <c r="J16" i="1"/>
  <c r="E8" i="1"/>
  <c r="E42" i="1"/>
  <c r="E43" i="1" s="1"/>
  <c r="E40" i="1"/>
  <c r="E3" i="1"/>
  <c r="E16" i="1" s="1"/>
  <c r="C3" i="1"/>
  <c r="C16" i="1" s="1"/>
  <c r="C42" i="1"/>
  <c r="C43" i="1" s="1"/>
  <c r="C40" i="1"/>
  <c r="F42" i="1"/>
  <c r="F43" i="1" s="1"/>
  <c r="F40" i="1"/>
  <c r="F3" i="1"/>
  <c r="F16" i="1" s="1"/>
  <c r="C37" i="1"/>
  <c r="G42" i="1"/>
  <c r="G43" i="1" s="1"/>
  <c r="G40" i="1"/>
  <c r="G3" i="1"/>
  <c r="G16" i="1" s="1"/>
  <c r="C22" i="1"/>
  <c r="D37" i="1"/>
  <c r="H3" i="1"/>
  <c r="H16" i="1" s="1"/>
  <c r="H8" i="1"/>
  <c r="H40" i="1"/>
  <c r="H42" i="1"/>
  <c r="H43" i="1" s="1"/>
  <c r="D22" i="1"/>
  <c r="E37" i="1"/>
  <c r="L16" i="1"/>
  <c r="D42" i="1"/>
  <c r="D43" i="1" s="1"/>
  <c r="D40" i="1"/>
  <c r="D3" i="1"/>
  <c r="D16" i="1" s="1"/>
  <c r="I3" i="1"/>
  <c r="I16" i="1" s="1"/>
  <c r="I40" i="1"/>
  <c r="I42" i="1"/>
  <c r="I43" i="1" s="1"/>
  <c r="E22" i="1"/>
  <c r="F37" i="1"/>
  <c r="M8" i="1"/>
  <c r="L4" i="2"/>
  <c r="L5" i="2" s="1"/>
  <c r="M10" i="2" s="1"/>
  <c r="K42" i="1"/>
  <c r="K43" i="1" s="1"/>
  <c r="L42" i="1"/>
  <c r="L43" i="1" s="1"/>
  <c r="B7" i="1"/>
  <c r="B22" i="1" s="1"/>
  <c r="B36" i="1"/>
  <c r="K40" i="1"/>
  <c r="M40" i="1"/>
  <c r="F4" i="2"/>
  <c r="N11" i="1"/>
  <c r="I2" i="2"/>
  <c r="I5" i="2" s="1"/>
  <c r="K8" i="1"/>
  <c r="F3" i="2"/>
  <c r="L8" i="1"/>
  <c r="N20" i="1"/>
  <c r="I3" i="2"/>
  <c r="L40" i="1"/>
  <c r="M42" i="1"/>
  <c r="M43" i="1" s="1"/>
  <c r="F2" i="2"/>
  <c r="F8" i="1" l="1"/>
  <c r="I8" i="1"/>
  <c r="D8" i="1"/>
  <c r="B3" i="1"/>
  <c r="N3" i="1" s="1"/>
  <c r="N8" i="1" s="1"/>
  <c r="B42" i="1"/>
  <c r="B8" i="1"/>
  <c r="G8" i="1"/>
  <c r="C8" i="1"/>
  <c r="B16" i="1"/>
  <c r="F5" i="2"/>
  <c r="B40" i="1"/>
  <c r="B37" i="1"/>
  <c r="N36" i="1"/>
  <c r="N42" i="1" l="1"/>
  <c r="N43" i="1" s="1"/>
  <c r="B43" i="1"/>
</calcChain>
</file>

<file path=xl/sharedStrings.xml><?xml version="1.0" encoding="utf-8"?>
<sst xmlns="http://schemas.openxmlformats.org/spreadsheetml/2006/main" count="84" uniqueCount="69">
  <si>
    <t>DRE - DEMONSTRATIVO DE RESULTADO</t>
  </si>
  <si>
    <t>Acumulado</t>
  </si>
  <si>
    <t>TOTAL - RECEITA BRUTA</t>
  </si>
  <si>
    <t>TAXA CARTÃO DE CRÉDITO</t>
  </si>
  <si>
    <t>CARTÕES E PLANOS</t>
  </si>
  <si>
    <t>DINHEIRO&amp;PIX</t>
  </si>
  <si>
    <t>TOTAL - FATURAMENTO LIQUIDO</t>
  </si>
  <si>
    <t>% Sobre Faturamento Bruto</t>
  </si>
  <si>
    <t>CUSTO ALIMENTAR</t>
  </si>
  <si>
    <t>GENEROS ALIMENTICIOS</t>
  </si>
  <si>
    <t>GENEROS DESCARTAVEIS</t>
  </si>
  <si>
    <t>GENEROS DE LIMPEZA</t>
  </si>
  <si>
    <t xml:space="preserve"> FRETES E CARRETOS S/ COMPRAS</t>
  </si>
  <si>
    <t>HIGIENIZACAO - ECOLAB / DIVERSEY</t>
  </si>
  <si>
    <t>TOTAL - CUSTO ALIMENTAR</t>
  </si>
  <si>
    <t>% Sobre Receita Liquida</t>
  </si>
  <si>
    <t>MÃO DE OBRA</t>
  </si>
  <si>
    <t>SALARIOS</t>
  </si>
  <si>
    <t>ALIMENTACAO</t>
  </si>
  <si>
    <t>VALE TRANSPORTE</t>
  </si>
  <si>
    <t>TOTAL - MÃO DE OBRA</t>
  </si>
  <si>
    <t>% Sobre Receita Líquida</t>
  </si>
  <si>
    <t>DESPESAS OPERACIONAIS</t>
  </si>
  <si>
    <t>ÁGUA</t>
  </si>
  <si>
    <t>LUZ (ENERGIA)</t>
  </si>
  <si>
    <t>MANUTENCOES E REPAROS</t>
  </si>
  <si>
    <t xml:space="preserve">INTERNET </t>
  </si>
  <si>
    <t>TELEFONE / FAX</t>
  </si>
  <si>
    <t>UNIFORMES</t>
  </si>
  <si>
    <t>UTENSILIOS</t>
  </si>
  <si>
    <t>EPI - PROTECAO INDIVIDUAL</t>
  </si>
  <si>
    <t>OUTROS CUSTOS GERAIS</t>
  </si>
  <si>
    <t>REEMBOLSO DE LOCOMOCAO</t>
  </si>
  <si>
    <t>TAXA DE ADM DO CARTÃO DE CRÉDITO</t>
  </si>
  <si>
    <t>COPIAS E IMPRESSOES</t>
  </si>
  <si>
    <t>TOTAL - DESPESAS OPERACIONAIS</t>
  </si>
  <si>
    <t>PROLABORE</t>
  </si>
  <si>
    <t>RESULTADO</t>
  </si>
  <si>
    <t>DIAS</t>
  </si>
  <si>
    <t>QTD DIÁRIA</t>
  </si>
  <si>
    <t>TOTAL</t>
  </si>
  <si>
    <t>VALOR MÉDIO</t>
  </si>
  <si>
    <t>DESPESA</t>
  </si>
  <si>
    <t>DESPESA TOTAL</t>
  </si>
  <si>
    <t>LUCRO</t>
  </si>
  <si>
    <t>LUCRO TOTAL</t>
  </si>
  <si>
    <t>DESPESAS</t>
  </si>
  <si>
    <t>HAMBURGUER</t>
  </si>
  <si>
    <t>AGUA</t>
  </si>
  <si>
    <t>BEBIDAS</t>
  </si>
  <si>
    <t>LUZ</t>
  </si>
  <si>
    <t>FRITAS</t>
  </si>
  <si>
    <t>GAS</t>
  </si>
  <si>
    <t>LUCRO MENSAL:</t>
  </si>
  <si>
    <t>ALIMENTICIOS</t>
  </si>
  <si>
    <t>DESCARTAVEIS</t>
  </si>
  <si>
    <t>LIMPEZA</t>
  </si>
  <si>
    <t xml:space="preserve"> FRETES</t>
  </si>
  <si>
    <t>FAXINEIRA</t>
  </si>
  <si>
    <t>ALIMENT. PESSOAL</t>
  </si>
  <si>
    <t>MANUTENCOES</t>
  </si>
  <si>
    <t>TELEFONE</t>
  </si>
  <si>
    <t>EPI</t>
  </si>
  <si>
    <t>REEMBOLSO DE LOC.</t>
  </si>
  <si>
    <t>IMPRESSOES</t>
  </si>
  <si>
    <t>MES</t>
  </si>
  <si>
    <t>FATURAMENTO</t>
  </si>
  <si>
    <t>DINHEIRO</t>
  </si>
  <si>
    <t>CARTAO E PLANOS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</si>
</sst>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Arial"/>
      <family val="2"/>
    </font>
    <font>
      <b/>
      <sz val="12"/>
      <color rgb="FFFFFF00"/>
      <name val="Arial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1" fillId="0" borderId="0"/>
    <xf numFmtId="0" fontId="11" fillId="0" borderId="0"/>
  </cellStyleXfs>
  <cellXfs count="42">
    <xf numFmtId="0" fontId="0" fillId="0" borderId="0" xfId="0"/>
    <xf numFmtId="2" fontId="1" fillId="3" borderId="0" xfId="0" applyNumberFormat="1" applyFont="1" applyFill="1"/>
    <xf numFmtId="2" fontId="1" fillId="4" borderId="0" xfId="0" applyNumberFormat="1" applyFont="1" applyFill="1"/>
    <xf numFmtId="2" fontId="1" fillId="2" borderId="0" xfId="0" applyNumberFormat="1" applyFont="1" applyFill="1" applyAlignment="1">
      <alignment vertical="center"/>
    </xf>
    <xf numFmtId="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4" fontId="2" fillId="0" borderId="1" xfId="0" applyNumberFormat="1" applyFont="1" applyBorder="1"/>
    <xf numFmtId="2" fontId="3" fillId="5" borderId="0" xfId="0" applyNumberFormat="1" applyFont="1" applyFill="1" applyAlignment="1">
      <alignment vertical="center"/>
    </xf>
    <xf numFmtId="4" fontId="3" fillId="5" borderId="0" xfId="0" applyNumberFormat="1" applyFont="1" applyFill="1" applyAlignment="1">
      <alignment vertical="center"/>
    </xf>
    <xf numFmtId="2" fontId="4" fillId="0" borderId="1" xfId="0" applyNumberFormat="1" applyFont="1" applyBorder="1"/>
    <xf numFmtId="4" fontId="3" fillId="2" borderId="0" xfId="0" applyNumberFormat="1" applyFont="1" applyFill="1" applyAlignment="1">
      <alignment vertical="center"/>
    </xf>
    <xf numFmtId="4" fontId="3" fillId="3" borderId="0" xfId="0" applyNumberFormat="1" applyFont="1" applyFill="1"/>
    <xf numFmtId="4" fontId="3" fillId="4" borderId="0" xfId="0" applyNumberFormat="1" applyFont="1" applyFill="1"/>
    <xf numFmtId="2" fontId="0" fillId="0" borderId="1" xfId="0" applyNumberFormat="1" applyBorder="1"/>
    <xf numFmtId="0" fontId="6" fillId="0" borderId="0" xfId="0" applyFont="1"/>
    <xf numFmtId="0" fontId="5" fillId="0" borderId="1" xfId="0" applyFont="1" applyBorder="1"/>
    <xf numFmtId="0" fontId="7" fillId="5" borderId="0" xfId="0" applyFont="1" applyFill="1" applyAlignment="1">
      <alignment vertical="center"/>
    </xf>
    <xf numFmtId="0" fontId="8" fillId="0" borderId="1" xfId="0" applyFont="1" applyBorder="1"/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0" xfId="0" applyFont="1"/>
    <xf numFmtId="0" fontId="10" fillId="0" borderId="1" xfId="0" applyFont="1" applyBorder="1"/>
    <xf numFmtId="0" fontId="12" fillId="0" borderId="1" xfId="0" applyFont="1" applyBorder="1"/>
    <xf numFmtId="17" fontId="2" fillId="0" borderId="1" xfId="0" applyNumberFormat="1" applyFont="1" applyBorder="1" applyAlignment="1">
      <alignment horizontal="center"/>
    </xf>
    <xf numFmtId="2" fontId="16" fillId="2" borderId="1" xfId="0" applyNumberFormat="1" applyFont="1" applyFill="1" applyBorder="1"/>
    <xf numFmtId="2" fontId="16" fillId="2" borderId="2" xfId="0" applyNumberFormat="1" applyFont="1" applyFill="1" applyBorder="1"/>
    <xf numFmtId="2" fontId="16" fillId="2" borderId="3" xfId="0" applyNumberFormat="1" applyFont="1" applyFill="1" applyBorder="1"/>
    <xf numFmtId="0" fontId="0" fillId="0" borderId="0" xfId="0"/>
    <xf numFmtId="4" fontId="0" fillId="0" borderId="0" xfId="0" applyNumberFormat="1"/>
    <xf numFmtId="44" fontId="14" fillId="2" borderId="0" xfId="1" applyFont="1" applyFill="1"/>
    <xf numFmtId="0" fontId="17" fillId="0" borderId="4" xfId="0" applyFont="1" applyBorder="1" applyAlignment="1">
      <alignment horizontal="center" vertical="top"/>
    </xf>
    <xf numFmtId="0" fontId="15" fillId="6" borderId="0" xfId="0" applyFont="1" applyFill="1" applyAlignment="1">
      <alignment horizontal="center"/>
    </xf>
    <xf numFmtId="0" fontId="0" fillId="0" borderId="0" xfId="0"/>
    <xf numFmtId="4" fontId="0" fillId="0" borderId="0" xfId="0" applyNumberFormat="1"/>
    <xf numFmtId="0" fontId="13" fillId="2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43"/>
  <sheetViews>
    <sheetView workbookViewId="0">
      <pane xSplit="1" topLeftCell="B1" activePane="topRight" state="frozen"/>
      <selection pane="topRight" activeCell="D5" sqref="D5"/>
    </sheetView>
  </sheetViews>
  <sheetFormatPr defaultRowHeight="14.5" x14ac:dyDescent="0.35"/>
  <cols>
    <col min="1" max="1" width="41.453125" style="14" customWidth="1"/>
    <col min="2" max="2" width="15" style="34" bestFit="1" customWidth="1"/>
    <col min="3" max="3" width="13.90625" style="34" bestFit="1" customWidth="1"/>
    <col min="4" max="13" width="12.453125" style="34" customWidth="1"/>
    <col min="14" max="14" width="13.90625" style="35" bestFit="1" customWidth="1"/>
  </cols>
  <sheetData>
    <row r="1" spans="1:14" ht="15.65" customHeight="1" x14ac:dyDescent="0.3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40"/>
    </row>
    <row r="2" spans="1:14" x14ac:dyDescent="0.35">
      <c r="B2" s="30">
        <v>45658</v>
      </c>
      <c r="C2" s="30">
        <v>45689</v>
      </c>
      <c r="D2" s="30">
        <v>45717</v>
      </c>
      <c r="E2" s="30">
        <v>45748</v>
      </c>
      <c r="F2" s="30">
        <v>45778</v>
      </c>
      <c r="G2" s="30">
        <v>45809</v>
      </c>
      <c r="H2" s="30">
        <v>45839</v>
      </c>
      <c r="I2" s="30">
        <v>45870</v>
      </c>
      <c r="J2" s="30">
        <v>45901</v>
      </c>
      <c r="K2" s="30">
        <v>45931</v>
      </c>
      <c r="L2" s="30">
        <v>45962</v>
      </c>
      <c r="M2" s="30">
        <v>45992</v>
      </c>
      <c r="N2" s="4" t="s">
        <v>1</v>
      </c>
    </row>
    <row r="3" spans="1:14" x14ac:dyDescent="0.35">
      <c r="A3" s="15" t="s">
        <v>2</v>
      </c>
      <c r="B3" s="5">
        <f t="shared" ref="B3:M3" si="0">B7</f>
        <v>0</v>
      </c>
      <c r="C3" s="5">
        <f t="shared" si="0"/>
        <v>0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 s="6">
        <f>SUM(B3:M3)</f>
        <v>0</v>
      </c>
    </row>
    <row r="4" spans="1:14" x14ac:dyDescent="0.35">
      <c r="A4" s="1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</row>
    <row r="5" spans="1:14" x14ac:dyDescent="0.35">
      <c r="A5" s="17" t="s">
        <v>4</v>
      </c>
      <c r="B5" s="9">
        <f>'DRE RECEITAS'!C2</f>
        <v>0</v>
      </c>
      <c r="C5" s="9">
        <f>'DRE RECEITAS'!C3</f>
        <v>0</v>
      </c>
      <c r="D5" s="9">
        <f>'DRE RECEITAS'!C4</f>
        <v>0</v>
      </c>
      <c r="E5" s="9">
        <f>'DRE RECEITAS'!C5</f>
        <v>0</v>
      </c>
      <c r="F5" s="9">
        <f>'DRE RECEITAS'!C6</f>
        <v>0</v>
      </c>
      <c r="G5" s="9">
        <f>'DRE RECEITAS'!C7</f>
        <v>0</v>
      </c>
      <c r="H5" s="9">
        <f>'DRE RECEITAS'!C8</f>
        <v>0</v>
      </c>
      <c r="I5" s="9">
        <f>'DRE RECEITAS'!C9</f>
        <v>0</v>
      </c>
      <c r="J5" s="9">
        <f>'DRE RECEITAS'!C10</f>
        <v>0</v>
      </c>
      <c r="K5" s="9">
        <f>'DRE RECEITAS'!C11</f>
        <v>0</v>
      </c>
      <c r="L5" s="9">
        <f>'DRE RECEITAS'!C12</f>
        <v>0</v>
      </c>
      <c r="M5" s="9">
        <f>'DRE RECEITAS'!C13</f>
        <v>0</v>
      </c>
      <c r="N5" s="6">
        <f>SUM(B5:M5)</f>
        <v>0</v>
      </c>
    </row>
    <row r="6" spans="1:14" x14ac:dyDescent="0.35">
      <c r="A6" s="17" t="s">
        <v>5</v>
      </c>
      <c r="B6" s="9">
        <f>'DRE RECEITAS'!B2</f>
        <v>0</v>
      </c>
      <c r="C6" s="9">
        <f>'DRE RECEITAS'!B3</f>
        <v>0</v>
      </c>
      <c r="D6" s="9"/>
      <c r="E6" s="9"/>
      <c r="F6" s="9"/>
      <c r="G6" s="9"/>
      <c r="H6" s="9"/>
      <c r="I6" s="9"/>
      <c r="J6" s="9"/>
      <c r="K6" s="9"/>
      <c r="L6" s="9"/>
      <c r="M6" s="9"/>
      <c r="N6" s="6">
        <f>SUM(B6:M6)</f>
        <v>0</v>
      </c>
    </row>
    <row r="7" spans="1:14" x14ac:dyDescent="0.35">
      <c r="A7" s="15" t="s">
        <v>6</v>
      </c>
      <c r="B7" s="5">
        <f t="shared" ref="B7:N7" si="1">SUM(B5:B6)</f>
        <v>0</v>
      </c>
      <c r="C7" s="5">
        <f t="shared" si="1"/>
        <v>0</v>
      </c>
      <c r="D7" s="5">
        <f t="shared" si="1"/>
        <v>0</v>
      </c>
      <c r="E7" s="5">
        <f t="shared" si="1"/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1"/>
        <v>0</v>
      </c>
      <c r="M7" s="5">
        <f t="shared" si="1"/>
        <v>0</v>
      </c>
      <c r="N7" s="5">
        <f t="shared" si="1"/>
        <v>0</v>
      </c>
    </row>
    <row r="8" spans="1:14" x14ac:dyDescent="0.35">
      <c r="A8" s="15" t="s">
        <v>7</v>
      </c>
      <c r="B8" s="5" t="e">
        <f t="shared" ref="B8:N8" si="2">B7/B3*100</f>
        <v>#DIV/0!</v>
      </c>
      <c r="C8" s="5" t="e">
        <f t="shared" si="2"/>
        <v>#DIV/0!</v>
      </c>
      <c r="D8" s="5" t="e">
        <f t="shared" si="2"/>
        <v>#DIV/0!</v>
      </c>
      <c r="E8" s="5" t="e">
        <f t="shared" si="2"/>
        <v>#DIV/0!</v>
      </c>
      <c r="F8" s="5" t="e">
        <f t="shared" si="2"/>
        <v>#DIV/0!</v>
      </c>
      <c r="G8" s="5" t="e">
        <f t="shared" si="2"/>
        <v>#DIV/0!</v>
      </c>
      <c r="H8" s="5" t="e">
        <f t="shared" si="2"/>
        <v>#DIV/0!</v>
      </c>
      <c r="I8" s="5" t="e">
        <f t="shared" si="2"/>
        <v>#DIV/0!</v>
      </c>
      <c r="J8" s="5" t="e">
        <f t="shared" si="2"/>
        <v>#DIV/0!</v>
      </c>
      <c r="K8" s="5" t="e">
        <f t="shared" si="2"/>
        <v>#DIV/0!</v>
      </c>
      <c r="L8" s="5" t="e">
        <f t="shared" si="2"/>
        <v>#DIV/0!</v>
      </c>
      <c r="M8" s="5" t="e">
        <f t="shared" si="2"/>
        <v>#DIV/0!</v>
      </c>
      <c r="N8" s="5" t="e">
        <f t="shared" si="2"/>
        <v>#DIV/0!</v>
      </c>
    </row>
    <row r="9" spans="1:14" x14ac:dyDescent="0.35">
      <c r="A9" s="18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0"/>
    </row>
    <row r="10" spans="1:14" x14ac:dyDescent="0.35">
      <c r="A10" s="17" t="s">
        <v>9</v>
      </c>
      <c r="B10">
        <f>'DRE DESPESAS'!A2</f>
        <v>0</v>
      </c>
      <c r="C10" s="9">
        <f>'DRE DESPESAS'!A3</f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6">
        <f t="shared" ref="N10:N15" si="3">SUM(B10:M10)</f>
        <v>0</v>
      </c>
    </row>
    <row r="11" spans="1:14" x14ac:dyDescent="0.35">
      <c r="A11" s="17" t="s">
        <v>10</v>
      </c>
      <c r="B11" s="9">
        <f>'DRE DESPESAS'!B2</f>
        <v>0</v>
      </c>
      <c r="C11" s="9">
        <f>'DRE DESPESAS'!B3</f>
        <v>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6">
        <f t="shared" si="3"/>
        <v>0</v>
      </c>
    </row>
    <row r="12" spans="1:14" x14ac:dyDescent="0.35">
      <c r="A12" s="17" t="s">
        <v>11</v>
      </c>
      <c r="B12" s="9">
        <f>'DRE DESPESAS'!C2</f>
        <v>0</v>
      </c>
      <c r="C12" s="9">
        <f>'DRE DESPESAS'!A5</f>
        <v>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6">
        <f t="shared" si="3"/>
        <v>0</v>
      </c>
    </row>
    <row r="13" spans="1:14" x14ac:dyDescent="0.35">
      <c r="A13" s="17" t="s">
        <v>12</v>
      </c>
      <c r="B13" s="9">
        <f>'DRE DESPESAS'!D2</f>
        <v>0</v>
      </c>
      <c r="C13" s="9">
        <f>'DRE DESPESAS'!A6</f>
        <v>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6">
        <f t="shared" si="3"/>
        <v>0</v>
      </c>
    </row>
    <row r="14" spans="1:14" x14ac:dyDescent="0.35">
      <c r="A14" s="17" t="s">
        <v>13</v>
      </c>
      <c r="B14" s="9">
        <f>'DRE DESPESAS'!E2</f>
        <v>0</v>
      </c>
      <c r="C14" s="9">
        <f>'DRE DESPESAS'!A7</f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6">
        <f t="shared" si="3"/>
        <v>0</v>
      </c>
    </row>
    <row r="15" spans="1:14" x14ac:dyDescent="0.35">
      <c r="A15" s="15" t="s">
        <v>14</v>
      </c>
      <c r="B15" s="5">
        <f>SUM(B11:B14)</f>
        <v>0</v>
      </c>
      <c r="C15" s="5">
        <f t="shared" ref="C15:M15" si="4">SUM(C10:C14)</f>
        <v>0</v>
      </c>
      <c r="D15" s="5">
        <f t="shared" si="4"/>
        <v>0</v>
      </c>
      <c r="E15" s="5">
        <f t="shared" si="4"/>
        <v>0</v>
      </c>
      <c r="F15" s="5">
        <f t="shared" si="4"/>
        <v>0</v>
      </c>
      <c r="G15" s="5">
        <f t="shared" si="4"/>
        <v>0</v>
      </c>
      <c r="H15" s="5">
        <f t="shared" si="4"/>
        <v>0</v>
      </c>
      <c r="I15" s="5">
        <f t="shared" si="4"/>
        <v>0</v>
      </c>
      <c r="J15" s="5">
        <f t="shared" si="4"/>
        <v>0</v>
      </c>
      <c r="K15" s="5">
        <f t="shared" si="4"/>
        <v>0</v>
      </c>
      <c r="L15" s="5">
        <f t="shared" si="4"/>
        <v>0</v>
      </c>
      <c r="M15" s="5">
        <f t="shared" si="4"/>
        <v>0</v>
      </c>
      <c r="N15" s="6">
        <f t="shared" si="3"/>
        <v>0</v>
      </c>
    </row>
    <row r="16" spans="1:14" x14ac:dyDescent="0.35">
      <c r="A16" s="15" t="s">
        <v>15</v>
      </c>
      <c r="B16" s="5" t="e">
        <f>(B15/B7*100)</f>
        <v>#DIV/0!</v>
      </c>
      <c r="C16" s="5" t="e">
        <f t="shared" ref="C16:M16" si="5">(C15/C3*100)</f>
        <v>#DIV/0!</v>
      </c>
      <c r="D16" s="5" t="e">
        <f t="shared" si="5"/>
        <v>#DIV/0!</v>
      </c>
      <c r="E16" s="5" t="e">
        <f t="shared" si="5"/>
        <v>#DIV/0!</v>
      </c>
      <c r="F16" s="5" t="e">
        <f t="shared" si="5"/>
        <v>#DIV/0!</v>
      </c>
      <c r="G16" s="5" t="e">
        <f t="shared" si="5"/>
        <v>#DIV/0!</v>
      </c>
      <c r="H16" s="5" t="e">
        <f t="shared" si="5"/>
        <v>#DIV/0!</v>
      </c>
      <c r="I16" s="5" t="e">
        <f t="shared" si="5"/>
        <v>#DIV/0!</v>
      </c>
      <c r="J16" s="5" t="e">
        <f t="shared" si="5"/>
        <v>#DIV/0!</v>
      </c>
      <c r="K16" s="5" t="e">
        <f t="shared" si="5"/>
        <v>#DIV/0!</v>
      </c>
      <c r="L16" s="5" t="e">
        <f t="shared" si="5"/>
        <v>#DIV/0!</v>
      </c>
      <c r="M16" s="5" t="e">
        <f t="shared" si="5"/>
        <v>#DIV/0!</v>
      </c>
      <c r="N16" s="6"/>
    </row>
    <row r="17" spans="1:14" x14ac:dyDescent="0.35">
      <c r="A17" s="19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1"/>
    </row>
    <row r="18" spans="1:14" x14ac:dyDescent="0.35">
      <c r="A18" s="17" t="s">
        <v>17</v>
      </c>
      <c r="B18" s="9">
        <f>'DRE DESPESAS'!F2</f>
        <v>0</v>
      </c>
      <c r="C18" s="9">
        <v>1885.65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6">
        <f>SUM(B18:M18)</f>
        <v>1885.65</v>
      </c>
    </row>
    <row r="19" spans="1:14" x14ac:dyDescent="0.35">
      <c r="A19" s="17" t="s">
        <v>18</v>
      </c>
      <c r="B19" s="9">
        <f>'DRE DESPESAS'!G2</f>
        <v>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6">
        <f>SUM(B19:M19)</f>
        <v>0</v>
      </c>
    </row>
    <row r="20" spans="1:14" x14ac:dyDescent="0.35">
      <c r="A20" s="17" t="s">
        <v>19</v>
      </c>
      <c r="B20" s="9">
        <f>'DRE DESPESAS'!H2</f>
        <v>0</v>
      </c>
      <c r="C20" s="9">
        <v>252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6">
        <f>SUM(B20:M20)</f>
        <v>252</v>
      </c>
    </row>
    <row r="21" spans="1:14" x14ac:dyDescent="0.35">
      <c r="A21" s="15" t="s">
        <v>20</v>
      </c>
      <c r="B21" s="5">
        <f t="shared" ref="B21:M21" si="6">SUM(B18:B20)</f>
        <v>0</v>
      </c>
      <c r="C21" s="5">
        <f t="shared" si="6"/>
        <v>2137.65</v>
      </c>
      <c r="D21" s="5">
        <f t="shared" si="6"/>
        <v>0</v>
      </c>
      <c r="E21" s="5">
        <f t="shared" si="6"/>
        <v>0</v>
      </c>
      <c r="F21" s="5">
        <f t="shared" si="6"/>
        <v>0</v>
      </c>
      <c r="G21" s="5">
        <f t="shared" si="6"/>
        <v>0</v>
      </c>
      <c r="H21" s="5">
        <f t="shared" si="6"/>
        <v>0</v>
      </c>
      <c r="I21" s="5">
        <f t="shared" si="6"/>
        <v>0</v>
      </c>
      <c r="J21" s="5">
        <f t="shared" si="6"/>
        <v>0</v>
      </c>
      <c r="K21" s="5">
        <f t="shared" si="6"/>
        <v>0</v>
      </c>
      <c r="L21" s="5">
        <f t="shared" si="6"/>
        <v>0</v>
      </c>
      <c r="M21" s="5">
        <f t="shared" si="6"/>
        <v>0</v>
      </c>
      <c r="N21" s="6">
        <f>SUM(B21:M21)</f>
        <v>2137.65</v>
      </c>
    </row>
    <row r="22" spans="1:14" x14ac:dyDescent="0.35">
      <c r="A22" s="15" t="s">
        <v>21</v>
      </c>
      <c r="B22" s="5" t="e">
        <f t="shared" ref="B22:M22" si="7">B21/B7*100</f>
        <v>#DIV/0!</v>
      </c>
      <c r="C22" s="5" t="e">
        <f t="shared" si="7"/>
        <v>#DIV/0!</v>
      </c>
      <c r="D22" s="5" t="e">
        <f t="shared" si="7"/>
        <v>#DIV/0!</v>
      </c>
      <c r="E22" s="5" t="e">
        <f t="shared" si="7"/>
        <v>#DIV/0!</v>
      </c>
      <c r="F22" s="5" t="e">
        <f t="shared" si="7"/>
        <v>#DIV/0!</v>
      </c>
      <c r="G22" s="5" t="e">
        <f t="shared" si="7"/>
        <v>#DIV/0!</v>
      </c>
      <c r="H22" s="5" t="e">
        <f t="shared" si="7"/>
        <v>#DIV/0!</v>
      </c>
      <c r="I22" s="5" t="e">
        <f t="shared" si="7"/>
        <v>#DIV/0!</v>
      </c>
      <c r="J22" s="5" t="e">
        <f t="shared" si="7"/>
        <v>#DIV/0!</v>
      </c>
      <c r="K22" s="5" t="e">
        <f t="shared" si="7"/>
        <v>#DIV/0!</v>
      </c>
      <c r="L22" s="5" t="e">
        <f t="shared" si="7"/>
        <v>#DIV/0!</v>
      </c>
      <c r="M22" s="5" t="e">
        <f t="shared" si="7"/>
        <v>#DIV/0!</v>
      </c>
      <c r="N22" s="6"/>
    </row>
    <row r="23" spans="1:14" x14ac:dyDescent="0.35">
      <c r="A23" s="20" t="s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2"/>
    </row>
    <row r="24" spans="1:14" x14ac:dyDescent="0.35">
      <c r="A24" s="17" t="s">
        <v>23</v>
      </c>
      <c r="B24" s="13">
        <f>'DRE DESPESAS'!I2</f>
        <v>0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6">
        <f t="shared" ref="N24:N36" si="8">SUM(B24:M24)</f>
        <v>0</v>
      </c>
    </row>
    <row r="25" spans="1:14" x14ac:dyDescent="0.35">
      <c r="A25" s="17" t="s">
        <v>24</v>
      </c>
      <c r="B25" s="13">
        <f>'DRE DESPESAS'!J2</f>
        <v>0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6">
        <f t="shared" si="8"/>
        <v>0</v>
      </c>
    </row>
    <row r="26" spans="1:14" x14ac:dyDescent="0.35">
      <c r="A26" s="17" t="s">
        <v>25</v>
      </c>
      <c r="B26" s="9">
        <f>'DRE DESPESAS'!K2</f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6">
        <f t="shared" si="8"/>
        <v>0</v>
      </c>
    </row>
    <row r="27" spans="1:14" x14ac:dyDescent="0.35">
      <c r="A27" s="17" t="s">
        <v>26</v>
      </c>
      <c r="B27" s="9">
        <f>'DRE DESPESAS'!L2</f>
        <v>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6">
        <f t="shared" si="8"/>
        <v>0</v>
      </c>
    </row>
    <row r="28" spans="1:14" x14ac:dyDescent="0.35">
      <c r="A28" s="17" t="s">
        <v>27</v>
      </c>
      <c r="B28" s="9">
        <f>'DRE DESPESAS'!M2</f>
        <v>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6">
        <f t="shared" si="8"/>
        <v>0</v>
      </c>
    </row>
    <row r="29" spans="1:14" x14ac:dyDescent="0.35">
      <c r="A29" s="17" t="s">
        <v>28</v>
      </c>
      <c r="B29" s="9">
        <f>'DRE DESPESAS'!N2</f>
        <v>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6">
        <f t="shared" si="8"/>
        <v>0</v>
      </c>
    </row>
    <row r="30" spans="1:14" x14ac:dyDescent="0.35">
      <c r="A30" s="17" t="s">
        <v>29</v>
      </c>
      <c r="B30" s="9">
        <f>'DRE DESPESAS'!O2</f>
        <v>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6">
        <f t="shared" si="8"/>
        <v>0</v>
      </c>
    </row>
    <row r="31" spans="1:14" x14ac:dyDescent="0.35">
      <c r="A31" s="17" t="s">
        <v>30</v>
      </c>
      <c r="B31" s="9">
        <f>'DRE DESPESAS'!P2</f>
        <v>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6">
        <f t="shared" si="8"/>
        <v>0</v>
      </c>
    </row>
    <row r="32" spans="1:14" x14ac:dyDescent="0.35">
      <c r="A32" s="17" t="s">
        <v>31</v>
      </c>
      <c r="B32" s="9">
        <f>'DRE DESPESAS'!Q2</f>
        <v>0</v>
      </c>
      <c r="C32" s="9">
        <v>14746.27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6">
        <f t="shared" si="8"/>
        <v>14746.27</v>
      </c>
    </row>
    <row r="33" spans="1:14" x14ac:dyDescent="0.35">
      <c r="A33" s="17" t="s">
        <v>32</v>
      </c>
      <c r="B33" s="9">
        <f>'DRE DESPESAS'!R2</f>
        <v>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6">
        <f t="shared" si="8"/>
        <v>0</v>
      </c>
    </row>
    <row r="34" spans="1:14" x14ac:dyDescent="0.35">
      <c r="A34" s="17" t="s">
        <v>33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6">
        <f t="shared" si="8"/>
        <v>0</v>
      </c>
    </row>
    <row r="35" spans="1:14" x14ac:dyDescent="0.35">
      <c r="A35" s="17" t="s">
        <v>34</v>
      </c>
      <c r="B35" s="9">
        <f>'DRE DESPESAS'!S2</f>
        <v>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6">
        <f t="shared" si="8"/>
        <v>0</v>
      </c>
    </row>
    <row r="36" spans="1:14" x14ac:dyDescent="0.35">
      <c r="A36" s="15" t="s">
        <v>35</v>
      </c>
      <c r="B36" s="5">
        <f t="shared" ref="B36:M36" si="9">SUM(B24:B35)</f>
        <v>0</v>
      </c>
      <c r="C36" s="5">
        <f t="shared" si="9"/>
        <v>14746.27</v>
      </c>
      <c r="D36" s="5">
        <f t="shared" si="9"/>
        <v>0</v>
      </c>
      <c r="E36" s="5">
        <f t="shared" si="9"/>
        <v>0</v>
      </c>
      <c r="F36" s="5">
        <f t="shared" si="9"/>
        <v>0</v>
      </c>
      <c r="G36" s="5">
        <f t="shared" si="9"/>
        <v>0</v>
      </c>
      <c r="H36" s="5">
        <f t="shared" si="9"/>
        <v>0</v>
      </c>
      <c r="I36" s="5">
        <f t="shared" si="9"/>
        <v>0</v>
      </c>
      <c r="J36" s="5">
        <f t="shared" si="9"/>
        <v>0</v>
      </c>
      <c r="K36" s="5">
        <f t="shared" si="9"/>
        <v>0</v>
      </c>
      <c r="L36" s="5">
        <f t="shared" si="9"/>
        <v>0</v>
      </c>
      <c r="M36" s="5">
        <f t="shared" si="9"/>
        <v>0</v>
      </c>
      <c r="N36" s="6">
        <f t="shared" si="8"/>
        <v>14746.27</v>
      </c>
    </row>
    <row r="37" spans="1:14" x14ac:dyDescent="0.35">
      <c r="A37" s="15" t="s">
        <v>21</v>
      </c>
      <c r="B37" s="5" t="e">
        <f t="shared" ref="B37:M37" si="10">B36/B7*100</f>
        <v>#DIV/0!</v>
      </c>
      <c r="C37" s="5" t="e">
        <f t="shared" si="10"/>
        <v>#DIV/0!</v>
      </c>
      <c r="D37" s="5" t="e">
        <f t="shared" si="10"/>
        <v>#DIV/0!</v>
      </c>
      <c r="E37" s="5" t="e">
        <f t="shared" si="10"/>
        <v>#DIV/0!</v>
      </c>
      <c r="F37" s="5" t="e">
        <f t="shared" si="10"/>
        <v>#DIV/0!</v>
      </c>
      <c r="G37" s="5" t="e">
        <f t="shared" si="10"/>
        <v>#DIV/0!</v>
      </c>
      <c r="H37" s="5" t="e">
        <f t="shared" si="10"/>
        <v>#DIV/0!</v>
      </c>
      <c r="I37" s="5" t="e">
        <f t="shared" si="10"/>
        <v>#DIV/0!</v>
      </c>
      <c r="J37" s="5" t="e">
        <f t="shared" si="10"/>
        <v>#DIV/0!</v>
      </c>
      <c r="K37" s="5" t="e">
        <f t="shared" si="10"/>
        <v>#DIV/0!</v>
      </c>
      <c r="L37" s="5" t="e">
        <f t="shared" si="10"/>
        <v>#DIV/0!</v>
      </c>
      <c r="M37" s="5" t="e">
        <f t="shared" si="10"/>
        <v>#DIV/0!</v>
      </c>
      <c r="N37" s="6"/>
    </row>
    <row r="38" spans="1:14" x14ac:dyDescent="0.35">
      <c r="A38" s="1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6"/>
    </row>
    <row r="39" spans="1:14" x14ac:dyDescent="0.35">
      <c r="A39" s="15" t="s">
        <v>36</v>
      </c>
      <c r="B39" s="5">
        <f>'DRE DESPESAS'!T2</f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>
        <f>SUM(B39:M39)</f>
        <v>0</v>
      </c>
    </row>
    <row r="40" spans="1:14" x14ac:dyDescent="0.35">
      <c r="A40" s="15" t="s">
        <v>21</v>
      </c>
      <c r="B40" s="5" t="e">
        <f t="shared" ref="B40:M40" si="11">B39/B7*100</f>
        <v>#DIV/0!</v>
      </c>
      <c r="C40" s="5" t="e">
        <f t="shared" si="11"/>
        <v>#DIV/0!</v>
      </c>
      <c r="D40" s="5" t="e">
        <f t="shared" si="11"/>
        <v>#DIV/0!</v>
      </c>
      <c r="E40" s="5" t="e">
        <f t="shared" si="11"/>
        <v>#DIV/0!</v>
      </c>
      <c r="F40" s="5" t="e">
        <f t="shared" si="11"/>
        <v>#DIV/0!</v>
      </c>
      <c r="G40" s="5" t="e">
        <f t="shared" si="11"/>
        <v>#DIV/0!</v>
      </c>
      <c r="H40" s="5" t="e">
        <f t="shared" si="11"/>
        <v>#DIV/0!</v>
      </c>
      <c r="I40" s="5" t="e">
        <f t="shared" si="11"/>
        <v>#DIV/0!</v>
      </c>
      <c r="J40" s="5" t="e">
        <f t="shared" si="11"/>
        <v>#DIV/0!</v>
      </c>
      <c r="K40" s="5" t="e">
        <f t="shared" si="11"/>
        <v>#DIV/0!</v>
      </c>
      <c r="L40" s="5" t="e">
        <f t="shared" si="11"/>
        <v>#DIV/0!</v>
      </c>
      <c r="M40" s="5" t="e">
        <f t="shared" si="11"/>
        <v>#DIV/0!</v>
      </c>
      <c r="N40" s="6"/>
    </row>
    <row r="41" spans="1:14" x14ac:dyDescent="0.35">
      <c r="A41" s="1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1:14" x14ac:dyDescent="0.35">
      <c r="A42" s="21" t="s">
        <v>37</v>
      </c>
      <c r="B42" s="5">
        <f t="shared" ref="B42:M42" si="12">B7-B15-B21-B36-B39</f>
        <v>0</v>
      </c>
      <c r="C42" s="5">
        <f t="shared" si="12"/>
        <v>-16883.920000000002</v>
      </c>
      <c r="D42" s="5">
        <f t="shared" si="12"/>
        <v>0</v>
      </c>
      <c r="E42" s="5">
        <f t="shared" si="12"/>
        <v>0</v>
      </c>
      <c r="F42" s="5">
        <f t="shared" si="12"/>
        <v>0</v>
      </c>
      <c r="G42" s="5">
        <f t="shared" si="12"/>
        <v>0</v>
      </c>
      <c r="H42" s="5">
        <f t="shared" si="12"/>
        <v>0</v>
      </c>
      <c r="I42" s="5">
        <f t="shared" si="12"/>
        <v>0</v>
      </c>
      <c r="J42" s="5">
        <f t="shared" si="12"/>
        <v>0</v>
      </c>
      <c r="K42" s="5">
        <f t="shared" si="12"/>
        <v>0</v>
      </c>
      <c r="L42" s="5">
        <f t="shared" si="12"/>
        <v>0</v>
      </c>
      <c r="M42" s="5">
        <f t="shared" si="12"/>
        <v>0</v>
      </c>
      <c r="N42" s="6">
        <f>SUM(B42:M42)</f>
        <v>-16883.920000000002</v>
      </c>
    </row>
    <row r="43" spans="1:14" ht="16.25" customHeight="1" thickBot="1" x14ac:dyDescent="0.4">
      <c r="A43" s="15" t="s">
        <v>15</v>
      </c>
      <c r="B43" s="31" t="e">
        <f t="shared" ref="B43:N43" si="13">B42/B7*100</f>
        <v>#DIV/0!</v>
      </c>
      <c r="C43" s="31" t="e">
        <f t="shared" si="13"/>
        <v>#DIV/0!</v>
      </c>
      <c r="D43" s="31" t="e">
        <f t="shared" si="13"/>
        <v>#DIV/0!</v>
      </c>
      <c r="E43" s="31" t="e">
        <f t="shared" si="13"/>
        <v>#DIV/0!</v>
      </c>
      <c r="F43" s="31" t="e">
        <f t="shared" si="13"/>
        <v>#DIV/0!</v>
      </c>
      <c r="G43" s="31" t="e">
        <f t="shared" si="13"/>
        <v>#DIV/0!</v>
      </c>
      <c r="H43" s="31" t="e">
        <f t="shared" si="13"/>
        <v>#DIV/0!</v>
      </c>
      <c r="I43" s="31" t="e">
        <f t="shared" si="13"/>
        <v>#DIV/0!</v>
      </c>
      <c r="J43" s="31" t="e">
        <f t="shared" si="13"/>
        <v>#DIV/0!</v>
      </c>
      <c r="K43" s="31" t="e">
        <f t="shared" si="13"/>
        <v>#DIV/0!</v>
      </c>
      <c r="L43" s="31" t="e">
        <f t="shared" si="13"/>
        <v>#DIV/0!</v>
      </c>
      <c r="M43" s="32" t="e">
        <f t="shared" si="13"/>
        <v>#DIV/0!</v>
      </c>
      <c r="N43" s="33" t="e">
        <f t="shared" si="13"/>
        <v>#DIV/0!</v>
      </c>
    </row>
  </sheetData>
  <mergeCells count="1">
    <mergeCell ref="A1:N1"/>
  </mergeCells>
  <conditionalFormatting sqref="B43:N43">
    <cfRule type="cellIs" dxfId="0" priority="1" operator="lessThan">
      <formula>60</formula>
    </cfRule>
  </conditionalFormatting>
  <pageMargins left="7.8740000000000004E-2" right="0.19685" top="0.39369999999999999" bottom="0.39369999999999999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10"/>
  <sheetViews>
    <sheetView workbookViewId="0">
      <selection activeCell="C8" sqref="C8"/>
    </sheetView>
  </sheetViews>
  <sheetFormatPr defaultRowHeight="14.5" x14ac:dyDescent="0.35"/>
  <cols>
    <col min="1" max="1" width="13.6328125" style="34" bestFit="1" customWidth="1"/>
    <col min="2" max="2" width="9.08984375" style="22" customWidth="1"/>
    <col min="3" max="3" width="11.36328125" style="22" bestFit="1" customWidth="1"/>
    <col min="4" max="4" width="9.08984375" style="22" customWidth="1"/>
    <col min="5" max="5" width="13.54296875" style="34" bestFit="1" customWidth="1"/>
    <col min="7" max="7" width="5.6328125" style="34" customWidth="1"/>
    <col min="9" max="9" width="14.90625" style="34" bestFit="1" customWidth="1"/>
    <col min="10" max="10" width="6.36328125" style="34" customWidth="1"/>
    <col min="12" max="12" width="15" style="34" customWidth="1"/>
    <col min="13" max="13" width="17.36328125" style="34" customWidth="1"/>
    <col min="14" max="14" width="13.36328125" style="34" customWidth="1"/>
  </cols>
  <sheetData>
    <row r="1" spans="1:15" x14ac:dyDescent="0.35">
      <c r="A1" s="23"/>
      <c r="B1" s="24" t="s">
        <v>38</v>
      </c>
      <c r="C1" s="24" t="s">
        <v>39</v>
      </c>
      <c r="D1" s="24" t="s">
        <v>40</v>
      </c>
      <c r="E1" s="24" t="s">
        <v>41</v>
      </c>
      <c r="F1" s="24" t="s">
        <v>40</v>
      </c>
      <c r="H1" s="23" t="s">
        <v>42</v>
      </c>
      <c r="I1" s="24" t="s">
        <v>43</v>
      </c>
      <c r="K1" s="23" t="s">
        <v>44</v>
      </c>
      <c r="L1" s="24" t="s">
        <v>45</v>
      </c>
      <c r="N1" s="23" t="s">
        <v>46</v>
      </c>
      <c r="O1" s="23"/>
    </row>
    <row r="2" spans="1:15" x14ac:dyDescent="0.35">
      <c r="A2" s="23" t="s">
        <v>47</v>
      </c>
      <c r="B2" s="24">
        <v>12</v>
      </c>
      <c r="C2" s="24">
        <v>30</v>
      </c>
      <c r="D2" s="24">
        <f>B2*C2</f>
        <v>360</v>
      </c>
      <c r="E2" s="23">
        <v>20</v>
      </c>
      <c r="F2" s="23">
        <f>D2*E2</f>
        <v>7200</v>
      </c>
      <c r="H2" s="23">
        <v>9.83</v>
      </c>
      <c r="I2" s="23">
        <f>D2*H2</f>
        <v>3538.8</v>
      </c>
      <c r="K2" s="23">
        <v>10.17</v>
      </c>
      <c r="L2" s="23">
        <f>K2*D2</f>
        <v>3661.2</v>
      </c>
      <c r="N2" s="23" t="s">
        <v>48</v>
      </c>
      <c r="O2" s="23">
        <v>1000</v>
      </c>
    </row>
    <row r="3" spans="1:15" x14ac:dyDescent="0.35">
      <c r="A3" s="23" t="s">
        <v>49</v>
      </c>
      <c r="B3" s="24">
        <v>12</v>
      </c>
      <c r="C3" s="24">
        <v>30</v>
      </c>
      <c r="D3" s="24">
        <f>B3*C3</f>
        <v>360</v>
      </c>
      <c r="E3" s="23">
        <v>5</v>
      </c>
      <c r="F3" s="23">
        <f>D3*E3</f>
        <v>1800</v>
      </c>
      <c r="H3" s="23">
        <v>2.1</v>
      </c>
      <c r="I3" s="23">
        <f>D3*H3</f>
        <v>756</v>
      </c>
      <c r="K3" s="23">
        <v>2.9</v>
      </c>
      <c r="L3" s="23">
        <f>K3*D3</f>
        <v>1044</v>
      </c>
      <c r="N3" s="23" t="s">
        <v>50</v>
      </c>
      <c r="O3" s="23">
        <v>500</v>
      </c>
    </row>
    <row r="4" spans="1:15" x14ac:dyDescent="0.35">
      <c r="A4" s="23" t="s">
        <v>51</v>
      </c>
      <c r="B4" s="24">
        <v>12</v>
      </c>
      <c r="C4" s="24">
        <v>4</v>
      </c>
      <c r="D4" s="24">
        <f>B4*C4</f>
        <v>48</v>
      </c>
      <c r="E4" s="23">
        <v>18</v>
      </c>
      <c r="F4" s="23">
        <f>D4*E4</f>
        <v>864</v>
      </c>
      <c r="H4" s="23">
        <v>8</v>
      </c>
      <c r="I4" s="23">
        <f>D4*H4</f>
        <v>384</v>
      </c>
      <c r="K4" s="23">
        <v>10</v>
      </c>
      <c r="L4" s="23">
        <f>K4*D4</f>
        <v>480</v>
      </c>
      <c r="N4" s="23" t="s">
        <v>52</v>
      </c>
      <c r="O4" s="23">
        <v>90</v>
      </c>
    </row>
    <row r="5" spans="1:15" s="27" customFormat="1" ht="15.65" customHeight="1" x14ac:dyDescent="0.35">
      <c r="A5" s="25"/>
      <c r="B5" s="26"/>
      <c r="C5" s="26"/>
      <c r="D5" s="26"/>
      <c r="E5" s="25"/>
      <c r="F5" s="25">
        <f>SUM(F2:F4)</f>
        <v>9864</v>
      </c>
      <c r="H5" s="25"/>
      <c r="I5" s="25">
        <f>SUM(I2:I4)</f>
        <v>4678.8</v>
      </c>
      <c r="K5" s="25"/>
      <c r="L5" s="25">
        <f>SUM(L2:L4)</f>
        <v>5185.2</v>
      </c>
      <c r="N5" s="28" t="s">
        <v>36</v>
      </c>
      <c r="O5" s="28">
        <v>2520</v>
      </c>
    </row>
    <row r="6" spans="1:15" x14ac:dyDescent="0.35">
      <c r="N6" s="29"/>
      <c r="O6" s="29">
        <f>SUM(O2:O5)</f>
        <v>4110</v>
      </c>
    </row>
    <row r="10" spans="1:15" ht="18" customHeight="1" x14ac:dyDescent="0.45">
      <c r="J10" s="41" t="s">
        <v>53</v>
      </c>
      <c r="K10" s="39"/>
      <c r="L10" s="39"/>
      <c r="M10" s="36">
        <f>L5-O6</f>
        <v>1075.1999999999998</v>
      </c>
    </row>
  </sheetData>
  <mergeCells count="1">
    <mergeCell ref="J10:L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"/>
  <sheetViews>
    <sheetView tabSelected="1" workbookViewId="0">
      <selection activeCell="A3" sqref="A3:XFD3"/>
    </sheetView>
  </sheetViews>
  <sheetFormatPr defaultRowHeight="14.5" x14ac:dyDescent="0.35"/>
  <sheetData>
    <row r="1" spans="1:21" x14ac:dyDescent="0.35">
      <c r="A1" s="37" t="s">
        <v>54</v>
      </c>
      <c r="B1" s="37" t="s">
        <v>55</v>
      </c>
      <c r="C1" s="37" t="s">
        <v>56</v>
      </c>
      <c r="D1" s="37" t="s">
        <v>57</v>
      </c>
      <c r="E1" s="37" t="s">
        <v>58</v>
      </c>
      <c r="F1" s="37" t="s">
        <v>17</v>
      </c>
      <c r="G1" s="37" t="s">
        <v>59</v>
      </c>
      <c r="H1" s="37" t="s">
        <v>19</v>
      </c>
      <c r="I1" s="37" t="s">
        <v>48</v>
      </c>
      <c r="J1" s="37" t="s">
        <v>50</v>
      </c>
      <c r="K1" s="37" t="s">
        <v>60</v>
      </c>
      <c r="L1" s="37" t="s">
        <v>26</v>
      </c>
      <c r="M1" s="37" t="s">
        <v>61</v>
      </c>
      <c r="N1" s="37" t="s">
        <v>28</v>
      </c>
      <c r="O1" s="37" t="s">
        <v>29</v>
      </c>
      <c r="P1" s="37" t="s">
        <v>62</v>
      </c>
      <c r="Q1" s="37" t="s">
        <v>31</v>
      </c>
      <c r="R1" s="37" t="s">
        <v>63</v>
      </c>
      <c r="S1" s="37" t="s">
        <v>64</v>
      </c>
      <c r="T1" s="37" t="s">
        <v>36</v>
      </c>
      <c r="U1" s="37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A2" sqref="A2:D3"/>
    </sheetView>
  </sheetViews>
  <sheetFormatPr defaultRowHeight="14.5" x14ac:dyDescent="0.35"/>
  <sheetData>
    <row r="1" spans="1:4" x14ac:dyDescent="0.35">
      <c r="A1" s="37" t="s">
        <v>66</v>
      </c>
      <c r="B1" s="37" t="s">
        <v>67</v>
      </c>
      <c r="C1" s="37" t="s">
        <v>68</v>
      </c>
      <c r="D1" s="3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DEMONSTRATIVO</vt:lpstr>
      <vt:lpstr>SIMULADOR</vt:lpstr>
      <vt:lpstr>DRE DESPESAS</vt:lpstr>
      <vt:lpstr>DRE 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Cerqueira</cp:lastModifiedBy>
  <dcterms:created xsi:type="dcterms:W3CDTF">2025-10-24T21:46:29Z</dcterms:created>
  <dcterms:modified xsi:type="dcterms:W3CDTF">2025-11-07T00:06:40Z</dcterms:modified>
</cp:coreProperties>
</file>